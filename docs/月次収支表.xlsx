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収支表" sheetId="1" state="visible" r:id="rId1"/>
    <sheet xmlns:r="http://schemas.openxmlformats.org/officeDocument/2006/relationships" name="損益分岐点" sheetId="2" state="visible" r:id="rId2"/>
    <sheet xmlns:r="http://schemas.openxmlformats.org/officeDocument/2006/relationships" name="広告費管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&quot;件&quot;"/>
    <numFmt numFmtId="165" formatCode="0.0%"/>
    <numFmt numFmtId="166" formatCode="#,##0&quot;円&quot;"/>
    <numFmt numFmtId="167" formatCode="yyyy/mm/dd"/>
  </numFmts>
  <fonts count="12">
    <font>
      <name val="Calibri"/>
      <family val="2"/>
      <color theme="1"/>
      <sz val="11"/>
      <scheme val="minor"/>
    </font>
    <font>
      <b val="1"/>
      <color rgb="001A2A4A"/>
      <sz val="16"/>
    </font>
    <font>
      <b val="1"/>
      <color rgb="00FFFFFF"/>
      <sz val="10"/>
    </font>
    <font>
      <b val="1"/>
      <color rgb="001A2A4A"/>
      <sz val="10"/>
    </font>
    <font>
      <color rgb="00333333"/>
      <sz val="10"/>
    </font>
    <font>
      <b val="1"/>
      <color rgb="00333333"/>
      <sz val="10"/>
    </font>
    <font>
      <color rgb="00666666"/>
      <sz val="9"/>
    </font>
    <font>
      <b val="1"/>
      <color rgb="00FFFFFF"/>
      <sz val="11"/>
    </font>
    <font>
      <sz val="10"/>
    </font>
    <font>
      <b val="1"/>
      <sz val="11"/>
    </font>
    <font>
      <b val="1"/>
      <color rgb="001A2A4A"/>
      <sz val="11"/>
    </font>
    <font>
      <b val="1"/>
      <color rgb="001A2A4A"/>
      <sz val="14"/>
    </font>
  </fonts>
  <fills count="8">
    <fill>
      <patternFill/>
    </fill>
    <fill>
      <patternFill patternType="gray125"/>
    </fill>
    <fill>
      <patternFill patternType="solid">
        <fgColor rgb="001A2A4A"/>
      </patternFill>
    </fill>
    <fill>
      <patternFill patternType="solid">
        <fgColor rgb="002C5F8A"/>
      </patternFill>
    </fill>
    <fill>
      <patternFill patternType="solid">
        <fgColor rgb="00E8EEF5"/>
      </patternFill>
    </fill>
    <fill>
      <patternFill patternType="solid">
        <fgColor rgb="00F5F5F5"/>
      </patternFill>
    </fill>
    <fill>
      <patternFill patternType="solid">
        <fgColor rgb="00FFF5E6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pivotButton="0" quotePrefix="0" xfId="0"/>
    <xf numFmtId="0" fontId="4" fillId="0" borderId="1" applyAlignment="1" pivotButton="0" quotePrefix="0" xfId="0">
      <alignment horizontal="left" vertical="center" indent="1"/>
    </xf>
    <xf numFmtId="164" fontId="0" fillId="0" borderId="1" pivotButton="0" quotePrefix="0" xfId="0"/>
    <xf numFmtId="164" fontId="3" fillId="0" borderId="1" pivotButton="0" quotePrefix="0" xfId="0"/>
    <xf numFmtId="3" fontId="0" fillId="0" borderId="1" pivotButton="0" quotePrefix="0" xfId="0"/>
    <xf numFmtId="3" fontId="3" fillId="0" borderId="1" pivotButton="0" quotePrefix="0" xfId="0"/>
    <xf numFmtId="0" fontId="5" fillId="5" borderId="1" applyAlignment="1" pivotButton="0" quotePrefix="0" xfId="0">
      <alignment horizontal="left" vertical="center" indent="1"/>
    </xf>
    <xf numFmtId="3" fontId="5" fillId="5" borderId="1" pivotButton="0" quotePrefix="0" xfId="0"/>
    <xf numFmtId="3" fontId="3" fillId="5" borderId="1" pivotButton="0" quotePrefix="0" xfId="0"/>
    <xf numFmtId="0" fontId="3" fillId="6" borderId="1" applyAlignment="1" pivotButton="0" quotePrefix="0" xfId="0">
      <alignment horizontal="left" vertical="center"/>
    </xf>
    <xf numFmtId="3" fontId="3" fillId="6" borderId="1" pivotButton="0" quotePrefix="0" xfId="0"/>
    <xf numFmtId="165" fontId="0" fillId="0" borderId="1" pivotButton="0" quotePrefix="0" xfId="0"/>
    <xf numFmtId="165" fontId="3" fillId="0" borderId="1" pivotButton="0" quotePrefix="0" xfId="0"/>
    <xf numFmtId="0" fontId="3" fillId="7" borderId="1" applyAlignment="1" pivotButton="0" quotePrefix="0" xfId="0">
      <alignment horizontal="left" vertical="center"/>
    </xf>
    <xf numFmtId="3" fontId="3" fillId="7" borderId="1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166" fontId="9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2" customWidth="1" min="16" max="16"/>
  </cols>
  <sheetData>
    <row r="2" ht="28" customHeight="1">
      <c r="B2" s="1" t="inlineStr">
        <is>
          <t>配管洗浄専門店 匠 - 月次収支表（2026年度）</t>
        </is>
      </c>
    </row>
    <row r="4" ht="22" customHeight="1">
      <c r="B4" s="2" t="inlineStr">
        <is>
          <t>項目</t>
        </is>
      </c>
      <c r="C4" s="2" t="inlineStr">
        <is>
          <t>4月</t>
        </is>
      </c>
      <c r="D4" s="2" t="inlineStr">
        <is>
          <t>5月</t>
        </is>
      </c>
      <c r="E4" s="2" t="inlineStr">
        <is>
          <t>6月</t>
        </is>
      </c>
      <c r="F4" s="2" t="inlineStr">
        <is>
          <t>7月</t>
        </is>
      </c>
      <c r="G4" s="2" t="inlineStr">
        <is>
          <t>8月</t>
        </is>
      </c>
      <c r="H4" s="2" t="inlineStr">
        <is>
          <t>9月</t>
        </is>
      </c>
      <c r="I4" s="2" t="inlineStr">
        <is>
          <t>10月</t>
        </is>
      </c>
      <c r="J4" s="2" t="inlineStr">
        <is>
          <t>11月</t>
        </is>
      </c>
      <c r="K4" s="2" t="inlineStr">
        <is>
          <t>12月</t>
        </is>
      </c>
      <c r="L4" s="2" t="inlineStr">
        <is>
          <t>1月</t>
        </is>
      </c>
      <c r="M4" s="2" t="inlineStr">
        <is>
          <t>2月</t>
        </is>
      </c>
      <c r="N4" s="2" t="inlineStr">
        <is>
          <t>3月</t>
        </is>
      </c>
      <c r="O4" s="3" t="inlineStr">
        <is>
          <t>年間合計</t>
        </is>
      </c>
    </row>
    <row r="5" ht="20" customHeight="1">
      <c r="B5" s="4" t="inlineStr">
        <is>
          <t>【売上】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>
        <f>SUM(C5:N5)</f>
        <v/>
      </c>
    </row>
    <row r="6" ht="20" customHeight="1">
      <c r="B6" s="6" t="inlineStr">
        <is>
          <t>受注件数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8">
        <f>SUM(C6:N6)</f>
        <v/>
      </c>
    </row>
    <row r="7" ht="20" customHeight="1">
      <c r="B7" s="6" t="inlineStr">
        <is>
          <t>売上高（税込）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10">
        <f>SUM(C7:N7)</f>
        <v/>
      </c>
    </row>
    <row r="8" ht="20" customHeight="1">
      <c r="B8" s="4" t="inlineStr">
        <is>
          <t>【変動費】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>
        <f>SUM(C8:N8)</f>
        <v/>
      </c>
    </row>
    <row r="9" ht="20" customHeight="1">
      <c r="B9" s="6" t="inlineStr">
        <is>
          <t>材料費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10">
        <f>SUM(C9:N9)</f>
        <v/>
      </c>
    </row>
    <row r="10" ht="20" customHeight="1">
      <c r="B10" s="6" t="inlineStr">
        <is>
          <t>車両費（ガソリン・駐車場）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10">
        <f>SUM(C10:N10)</f>
        <v/>
      </c>
    </row>
    <row r="11" ht="20" customHeight="1">
      <c r="B11" s="6" t="inlineStr">
        <is>
          <t>外注費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10">
        <f>SUM(C11:N11)</f>
        <v/>
      </c>
    </row>
    <row r="12" ht="20" customHeight="1">
      <c r="B12" s="11" t="inlineStr">
        <is>
          <t>変動費 計</t>
        </is>
      </c>
      <c r="C12" s="12">
        <f>SUM(C9:C11)</f>
        <v/>
      </c>
      <c r="D12" s="12">
        <f>SUM(D9:D11)</f>
        <v/>
      </c>
      <c r="E12" s="12">
        <f>SUM(E9:E11)</f>
        <v/>
      </c>
      <c r="F12" s="12">
        <f>SUM(F9:F11)</f>
        <v/>
      </c>
      <c r="G12" s="12">
        <f>SUM(G9:G11)</f>
        <v/>
      </c>
      <c r="H12" s="12">
        <f>SUM(H9:H11)</f>
        <v/>
      </c>
      <c r="I12" s="12">
        <f>SUM(I9:I11)</f>
        <v/>
      </c>
      <c r="J12" s="12">
        <f>SUM(J9:J11)</f>
        <v/>
      </c>
      <c r="K12" s="12">
        <f>SUM(K9:K11)</f>
        <v/>
      </c>
      <c r="L12" s="12">
        <f>SUM(L9:L11)</f>
        <v/>
      </c>
      <c r="M12" s="12">
        <f>SUM(M9:M11)</f>
        <v/>
      </c>
      <c r="N12" s="12">
        <f>SUM(N9:N11)</f>
        <v/>
      </c>
      <c r="O12" s="13">
        <f>SUM(C12:N12)</f>
        <v/>
      </c>
    </row>
    <row r="13" ht="20" customHeight="1">
      <c r="B13" s="14" t="inlineStr">
        <is>
          <t>売上総利益（粗利）</t>
        </is>
      </c>
      <c r="C13" s="15">
        <f>C7-C12</f>
        <v/>
      </c>
      <c r="D13" s="15">
        <f>D7-D12</f>
        <v/>
      </c>
      <c r="E13" s="15">
        <f>E7-E12</f>
        <v/>
      </c>
      <c r="F13" s="15">
        <f>F7-F12</f>
        <v/>
      </c>
      <c r="G13" s="15">
        <f>G7-G12</f>
        <v/>
      </c>
      <c r="H13" s="15">
        <f>H7-H12</f>
        <v/>
      </c>
      <c r="I13" s="15">
        <f>I7-I12</f>
        <v/>
      </c>
      <c r="J13" s="15">
        <f>J7-J12</f>
        <v/>
      </c>
      <c r="K13" s="15">
        <f>K7-K12</f>
        <v/>
      </c>
      <c r="L13" s="15">
        <f>L7-L12</f>
        <v/>
      </c>
      <c r="M13" s="15">
        <f>M7-M12</f>
        <v/>
      </c>
      <c r="N13" s="15">
        <f>N7-N12</f>
        <v/>
      </c>
      <c r="O13" s="15">
        <f>SUM(C13:N13)</f>
        <v/>
      </c>
    </row>
    <row r="14" ht="20" customHeight="1">
      <c r="B14" s="6" t="inlineStr">
        <is>
          <t>粗利率</t>
        </is>
      </c>
      <c r="C14" s="16">
        <f>IFERROR(C13/C7,"")</f>
        <v/>
      </c>
      <c r="D14" s="16">
        <f>IFERROR(D13/D7,"")</f>
        <v/>
      </c>
      <c r="E14" s="16">
        <f>IFERROR(E13/E7,"")</f>
        <v/>
      </c>
      <c r="F14" s="16">
        <f>IFERROR(F13/F7,"")</f>
        <v/>
      </c>
      <c r="G14" s="16">
        <f>IFERROR(G13/G7,"")</f>
        <v/>
      </c>
      <c r="H14" s="16">
        <f>IFERROR(H13/H7,"")</f>
        <v/>
      </c>
      <c r="I14" s="16">
        <f>IFERROR(I13/I7,"")</f>
        <v/>
      </c>
      <c r="J14" s="16">
        <f>IFERROR(J13/J7,"")</f>
        <v/>
      </c>
      <c r="K14" s="16">
        <f>IFERROR(K13/K7,"")</f>
        <v/>
      </c>
      <c r="L14" s="16">
        <f>IFERROR(L13/L7,"")</f>
        <v/>
      </c>
      <c r="M14" s="16">
        <f>IFERROR(M13/M7,"")</f>
        <v/>
      </c>
      <c r="N14" s="16">
        <f>IFERROR(N13/N7,"")</f>
        <v/>
      </c>
      <c r="O14" s="17">
        <f>SUM(C14:N14)</f>
        <v/>
      </c>
    </row>
    <row r="15" ht="20" customHeight="1">
      <c r="B15" s="4" t="inlineStr">
        <is>
          <t>【固定費】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>
        <f>SUM(C15:N15)</f>
        <v/>
      </c>
    </row>
    <row r="16" ht="20" customHeight="1">
      <c r="B16" s="6" t="inlineStr">
        <is>
          <t>Google広告費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10">
        <f>SUM(C16:N16)</f>
        <v/>
      </c>
    </row>
    <row r="17" ht="20" customHeight="1">
      <c r="B17" s="6" t="inlineStr">
        <is>
          <t>その他広告（チラシ等）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10">
        <f>SUM(C17:N17)</f>
        <v/>
      </c>
    </row>
    <row r="18" ht="20" customHeight="1">
      <c r="B18" s="6" t="inlineStr">
        <is>
          <t>通信費（IVRy/LINE）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10">
        <f>SUM(C18:N18)</f>
        <v/>
      </c>
    </row>
    <row r="19" ht="20" customHeight="1">
      <c r="B19" s="6" t="inlineStr">
        <is>
          <t>ドメイン・サーバー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10">
        <f>SUM(C19:N19)</f>
        <v/>
      </c>
    </row>
    <row r="20" ht="20" customHeight="1">
      <c r="B20" s="6" t="inlineStr">
        <is>
          <t>保険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10">
        <f>SUM(C20:N20)</f>
        <v/>
      </c>
    </row>
    <row r="21" ht="20" customHeight="1">
      <c r="B21" s="6" t="inlineStr">
        <is>
          <t>水道光熱費（事務所）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10">
        <f>SUM(C21:N21)</f>
        <v/>
      </c>
    </row>
    <row r="22" ht="20" customHeight="1">
      <c r="B22" s="6" t="inlineStr">
        <is>
          <t>消耗品・備品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10">
        <f>SUM(C22:N22)</f>
        <v/>
      </c>
    </row>
    <row r="23" ht="20" customHeight="1">
      <c r="B23" s="6" t="inlineStr">
        <is>
          <t>交際費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10">
        <f>SUM(C23:N23)</f>
        <v/>
      </c>
    </row>
    <row r="24" ht="20" customHeight="1">
      <c r="B24" s="6" t="inlineStr">
        <is>
          <t>その他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0">
        <f>SUM(C24:N24)</f>
        <v/>
      </c>
    </row>
    <row r="25" ht="20" customHeight="1">
      <c r="B25" s="11" t="inlineStr">
        <is>
          <t>固定費 計</t>
        </is>
      </c>
      <c r="C25" s="12">
        <f>SUM(C16:C24)</f>
        <v/>
      </c>
      <c r="D25" s="12">
        <f>SUM(D16:D24)</f>
        <v/>
      </c>
      <c r="E25" s="12">
        <f>SUM(E16:E24)</f>
        <v/>
      </c>
      <c r="F25" s="12">
        <f>SUM(F16:F24)</f>
        <v/>
      </c>
      <c r="G25" s="12">
        <f>SUM(G16:G24)</f>
        <v/>
      </c>
      <c r="H25" s="12">
        <f>SUM(H16:H24)</f>
        <v/>
      </c>
      <c r="I25" s="12">
        <f>SUM(I16:I24)</f>
        <v/>
      </c>
      <c r="J25" s="12">
        <f>SUM(J16:J24)</f>
        <v/>
      </c>
      <c r="K25" s="12">
        <f>SUM(K16:K24)</f>
        <v/>
      </c>
      <c r="L25" s="12">
        <f>SUM(L16:L24)</f>
        <v/>
      </c>
      <c r="M25" s="12">
        <f>SUM(M16:M24)</f>
        <v/>
      </c>
      <c r="N25" s="12">
        <f>SUM(N16:N24)</f>
        <v/>
      </c>
      <c r="O25" s="13">
        <f>SUM(C25:N25)</f>
        <v/>
      </c>
    </row>
    <row r="26" ht="20" customHeight="1">
      <c r="B26" s="18" t="inlineStr">
        <is>
          <t>営業利益</t>
        </is>
      </c>
      <c r="C26" s="19">
        <f>C13-C25</f>
        <v/>
      </c>
      <c r="D26" s="19">
        <f>D13-D25</f>
        <v/>
      </c>
      <c r="E26" s="19">
        <f>E13-E25</f>
        <v/>
      </c>
      <c r="F26" s="19">
        <f>F13-F25</f>
        <v/>
      </c>
      <c r="G26" s="19">
        <f>G13-G25</f>
        <v/>
      </c>
      <c r="H26" s="19">
        <f>H13-H25</f>
        <v/>
      </c>
      <c r="I26" s="19">
        <f>I13-I25</f>
        <v/>
      </c>
      <c r="J26" s="19">
        <f>J13-J25</f>
        <v/>
      </c>
      <c r="K26" s="19">
        <f>K13-K25</f>
        <v/>
      </c>
      <c r="L26" s="19">
        <f>L13-L25</f>
        <v/>
      </c>
      <c r="M26" s="19">
        <f>M13-M25</f>
        <v/>
      </c>
      <c r="N26" s="19">
        <f>N13-N25</f>
        <v/>
      </c>
      <c r="O26" s="19">
        <f>SUM(C26:N26)</f>
        <v/>
      </c>
    </row>
    <row r="27" ht="20" customHeight="1">
      <c r="B27" s="6" t="inlineStr">
        <is>
          <t>営業利益率</t>
        </is>
      </c>
      <c r="C27" s="16">
        <f>IFERROR(C26/C7,"")</f>
        <v/>
      </c>
      <c r="D27" s="16">
        <f>IFERROR(D26/D7,"")</f>
        <v/>
      </c>
      <c r="E27" s="16">
        <f>IFERROR(E26/E7,"")</f>
        <v/>
      </c>
      <c r="F27" s="16">
        <f>IFERROR(F26/F7,"")</f>
        <v/>
      </c>
      <c r="G27" s="16">
        <f>IFERROR(G26/G7,"")</f>
        <v/>
      </c>
      <c r="H27" s="16">
        <f>IFERROR(H26/H7,"")</f>
        <v/>
      </c>
      <c r="I27" s="16">
        <f>IFERROR(I26/I7,"")</f>
        <v/>
      </c>
      <c r="J27" s="16">
        <f>IFERROR(J26/J7,"")</f>
        <v/>
      </c>
      <c r="K27" s="16">
        <f>IFERROR(K26/K7,"")</f>
        <v/>
      </c>
      <c r="L27" s="16">
        <f>IFERROR(L26/L7,"")</f>
        <v/>
      </c>
      <c r="M27" s="16">
        <f>IFERROR(M26/M7,"")</f>
        <v/>
      </c>
      <c r="N27" s="16">
        <f>IFERROR(N26/N7,"")</f>
        <v/>
      </c>
      <c r="O27" s="17">
        <f>SUM(C27:N27)</f>
        <v/>
      </c>
    </row>
    <row r="29" ht="20" customHeight="1">
      <c r="B29" s="4" t="inlineStr">
        <is>
          <t>【KPI】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>
        <f>SUM(C29:N29)</f>
        <v/>
      </c>
    </row>
    <row r="30" ht="20" customHeight="1">
      <c r="B30" s="6" t="inlineStr">
        <is>
          <t>平均客単価</t>
        </is>
      </c>
      <c r="C30" s="9">
        <f>IFERROR(C7/C6,"")</f>
        <v/>
      </c>
      <c r="D30" s="9">
        <f>IFERROR(D7/D6,"")</f>
        <v/>
      </c>
      <c r="E30" s="9">
        <f>IFERROR(E7/E6,"")</f>
        <v/>
      </c>
      <c r="F30" s="9">
        <f>IFERROR(F7/F6,"")</f>
        <v/>
      </c>
      <c r="G30" s="9">
        <f>IFERROR(G7/G6,"")</f>
        <v/>
      </c>
      <c r="H30" s="9">
        <f>IFERROR(H7/H6,"")</f>
        <v/>
      </c>
      <c r="I30" s="9">
        <f>IFERROR(I7/I6,"")</f>
        <v/>
      </c>
      <c r="J30" s="9">
        <f>IFERROR(J7/J6,"")</f>
        <v/>
      </c>
      <c r="K30" s="9">
        <f>IFERROR(K7/K6,"")</f>
        <v/>
      </c>
      <c r="L30" s="9">
        <f>IFERROR(L7/L6,"")</f>
        <v/>
      </c>
      <c r="M30" s="9">
        <f>IFERROR(M7/M6,"")</f>
        <v/>
      </c>
      <c r="N30" s="9">
        <f>IFERROR(N7/N6,"")</f>
        <v/>
      </c>
      <c r="O30" s="10">
        <f>SUM(C30:N30)</f>
        <v/>
      </c>
    </row>
    <row r="31" ht="20" customHeight="1">
      <c r="B31" s="6" t="inlineStr">
        <is>
          <t>CPA（広告費÷成約件数）</t>
        </is>
      </c>
      <c r="C31" s="9">
        <f>IFERROR(C16/C6,"")</f>
        <v/>
      </c>
      <c r="D31" s="9">
        <f>IFERROR(D16/D6,"")</f>
        <v/>
      </c>
      <c r="E31" s="9">
        <f>IFERROR(E16/E6,"")</f>
        <v/>
      </c>
      <c r="F31" s="9">
        <f>IFERROR(F16/F6,"")</f>
        <v/>
      </c>
      <c r="G31" s="9">
        <f>IFERROR(G16/G6,"")</f>
        <v/>
      </c>
      <c r="H31" s="9">
        <f>IFERROR(H16/H6,"")</f>
        <v/>
      </c>
      <c r="I31" s="9">
        <f>IFERROR(I16/I6,"")</f>
        <v/>
      </c>
      <c r="J31" s="9">
        <f>IFERROR(J16/J6,"")</f>
        <v/>
      </c>
      <c r="K31" s="9">
        <f>IFERROR(K16/K6,"")</f>
        <v/>
      </c>
      <c r="L31" s="9">
        <f>IFERROR(L16/L6,"")</f>
        <v/>
      </c>
      <c r="M31" s="9">
        <f>IFERROR(M16/M6,"")</f>
        <v/>
      </c>
      <c r="N31" s="9">
        <f>IFERROR(N16/N6,"")</f>
        <v/>
      </c>
      <c r="O31" s="10">
        <f>SUM(C31:N31)</f>
        <v/>
      </c>
    </row>
    <row r="32" ht="20" customHeight="1">
      <c r="B32" s="6" t="inlineStr">
        <is>
          <t>1件あたり粗利</t>
        </is>
      </c>
      <c r="C32" s="9">
        <f>IFERROR(C13/C6,"")</f>
        <v/>
      </c>
      <c r="D32" s="9">
        <f>IFERROR(D13/D6,"")</f>
        <v/>
      </c>
      <c r="E32" s="9">
        <f>IFERROR(E13/E6,"")</f>
        <v/>
      </c>
      <c r="F32" s="9">
        <f>IFERROR(F13/F6,"")</f>
        <v/>
      </c>
      <c r="G32" s="9">
        <f>IFERROR(G13/G6,"")</f>
        <v/>
      </c>
      <c r="H32" s="9">
        <f>IFERROR(H13/H6,"")</f>
        <v/>
      </c>
      <c r="I32" s="9">
        <f>IFERROR(I13/I6,"")</f>
        <v/>
      </c>
      <c r="J32" s="9">
        <f>IFERROR(J13/J6,"")</f>
        <v/>
      </c>
      <c r="K32" s="9">
        <f>IFERROR(K13/K6,"")</f>
        <v/>
      </c>
      <c r="L32" s="9">
        <f>IFERROR(L13/L6,"")</f>
        <v/>
      </c>
      <c r="M32" s="9">
        <f>IFERROR(M13/M6,"")</f>
        <v/>
      </c>
      <c r="N32" s="9">
        <f>IFERROR(N13/N6,"")</f>
        <v/>
      </c>
      <c r="O32" s="10">
        <f>SUM(C32:N32)</f>
        <v/>
      </c>
    </row>
    <row r="35">
      <c r="B35" s="20" t="inlineStr">
        <is>
          <t>【記入ルール】
・「受注件数」「売上高」は『顧客管理.xlsx』の当月実績を転記
・各費用は実費を税込みで記入
・粗利/営業利益/合計/KPIは自動計算
・営業利益がマイナスの月は固定費の見直しを検討（CFOに相談）</t>
        </is>
      </c>
    </row>
    <row r="36"/>
    <row r="37"/>
    <row r="38"/>
  </sheetData>
  <mergeCells count="2">
    <mergeCell ref="B35:O38"/>
    <mergeCell ref="B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4" customWidth="1" min="4" max="4"/>
    <col width="24" customWidth="1" min="5" max="5"/>
    <col width="16" customWidth="1" min="6" max="6"/>
  </cols>
  <sheetData>
    <row r="2" ht="28" customHeight="1">
      <c r="B2" s="1" t="inlineStr">
        <is>
          <t>損益分岐点シミュレーション</t>
        </is>
      </c>
    </row>
    <row r="4" ht="22" customHeight="1">
      <c r="B4" s="21" t="inlineStr">
        <is>
          <t>前提数値（月次）</t>
        </is>
      </c>
      <c r="E4" s="21" t="inlineStr">
        <is>
          <t>試算結果</t>
        </is>
      </c>
    </row>
    <row r="5" ht="22" customHeight="1">
      <c r="B5" s="22" t="inlineStr">
        <is>
          <t>平均客単価（税込）</t>
        </is>
      </c>
      <c r="C5" s="23" t="n">
        <v>33000</v>
      </c>
      <c r="E5" s="22" t="inlineStr">
        <is>
          <t>1件あたり粗利</t>
        </is>
      </c>
      <c r="F5" s="24">
        <f>C5-C6-C7</f>
        <v/>
      </c>
    </row>
    <row r="6" ht="22" customHeight="1">
      <c r="B6" s="22" t="inlineStr">
        <is>
          <t>1件あたり材料費</t>
        </is>
      </c>
      <c r="C6" s="23" t="n">
        <v>2500</v>
      </c>
      <c r="E6" s="22" t="inlineStr">
        <is>
          <t>粗利率</t>
        </is>
      </c>
      <c r="F6" s="25">
        <f>IFERROR((C5-C6-C7)/C5,"")</f>
        <v/>
      </c>
    </row>
    <row r="7" ht="22" customHeight="1">
      <c r="B7" s="22" t="inlineStr">
        <is>
          <t>1件あたり車両費</t>
        </is>
      </c>
      <c r="C7" s="23" t="n">
        <v>500</v>
      </c>
      <c r="E7" s="22" t="inlineStr">
        <is>
          <t>固定費合計（月）</t>
        </is>
      </c>
      <c r="F7" s="24">
        <f>C8+C9</f>
        <v/>
      </c>
    </row>
    <row r="8" ht="22" customHeight="1">
      <c r="B8" s="22" t="inlineStr">
        <is>
          <t>固定費 月額（広告費除く）</t>
        </is>
      </c>
      <c r="C8" s="23" t="n">
        <v>30000</v>
      </c>
      <c r="E8" s="22" t="inlineStr">
        <is>
          <t>損益分岐点（件数）</t>
        </is>
      </c>
      <c r="F8" s="26">
        <f>IFERROR(ROUNDUP((C8+C9)/(C5-C6-C7),0),"")</f>
        <v/>
      </c>
    </row>
    <row r="9" ht="22" customHeight="1">
      <c r="B9" s="22" t="inlineStr">
        <is>
          <t>Google広告費 月額</t>
        </is>
      </c>
      <c r="C9" s="23" t="n">
        <v>30000</v>
      </c>
      <c r="E9" s="22" t="inlineStr">
        <is>
          <t>損益分岐点（売上）</t>
        </is>
      </c>
      <c r="F9" s="24">
        <f>IFERROR(ROUNDUP((C8+C9)/(C5-C6-C7),0)*C5,"")</f>
        <v/>
      </c>
    </row>
    <row r="10" ht="22" customHeight="1">
      <c r="B10" s="22" t="inlineStr">
        <is>
          <t>目標営業利益 月額</t>
        </is>
      </c>
      <c r="C10" s="23" t="n">
        <v>200000</v>
      </c>
      <c r="E10" s="22" t="inlineStr">
        <is>
          <t>目標達成に必要な件数</t>
        </is>
      </c>
      <c r="F10" s="26">
        <f>IFERROR(ROUNDUP((C8+C9+C10)/(C5-C6-C7),0),"")</f>
        <v/>
      </c>
    </row>
    <row r="11" ht="22" customHeight="1">
      <c r="E11" s="22" t="inlineStr">
        <is>
          <t>目標達成に必要な売上</t>
        </is>
      </c>
      <c r="F11" s="24">
        <f>IFERROR(ROUNDUP((C8+C9+C10)/(C5-C6-C7),0)*C5,"")</f>
        <v/>
      </c>
    </row>
    <row r="13">
      <c r="B13" s="20" t="inlineStr">
        <is>
          <t>【使い方】
・左の「前提数値」を変更すると、右の試算結果が自動で更新されます
・広告費を増やした時に何件取れば成り立つか、客単価を上げた時の効果などをシミュレーション
・損益分岐点: 毎月これだけの件数をこなさないと赤字になる水準
・目標営業利益: 月の「取りたい利益」を入れると、必要な件数が出ます</t>
        </is>
      </c>
    </row>
    <row r="14"/>
    <row r="15"/>
    <row r="16"/>
  </sheetData>
  <mergeCells count="4">
    <mergeCell ref="B2:F2"/>
    <mergeCell ref="E4:F4"/>
    <mergeCell ref="B4:C4"/>
    <mergeCell ref="B13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20" customWidth="1" min="10" max="10"/>
  </cols>
  <sheetData>
    <row r="2" ht="26" customHeight="1">
      <c r="B2" s="27" t="inlineStr">
        <is>
          <t>広告費管理（日別）</t>
        </is>
      </c>
    </row>
    <row r="4" ht="22" customHeight="1">
      <c r="B4" s="2" t="inlineStr">
        <is>
          <t>日付</t>
        </is>
      </c>
      <c r="C4" s="2" t="inlineStr">
        <is>
          <t>媒体</t>
        </is>
      </c>
      <c r="D4" s="2" t="inlineStr">
        <is>
          <t>費用</t>
        </is>
      </c>
      <c r="E4" s="2" t="inlineStr">
        <is>
          <t>表示回数</t>
        </is>
      </c>
      <c r="F4" s="2" t="inlineStr">
        <is>
          <t>クリック数</t>
        </is>
      </c>
      <c r="G4" s="2" t="inlineStr">
        <is>
          <t>CPC</t>
        </is>
      </c>
      <c r="H4" s="2" t="inlineStr">
        <is>
          <t>問合せ数</t>
        </is>
      </c>
      <c r="I4" s="2" t="inlineStr">
        <is>
          <t>CPA</t>
        </is>
      </c>
      <c r="J4" s="2" t="inlineStr">
        <is>
          <t>メモ</t>
        </is>
      </c>
    </row>
    <row r="5">
      <c r="B5" s="28" t="inlineStr">
        <is>
          <t>2026-04-01</t>
        </is>
      </c>
      <c r="C5" s="29" t="inlineStr">
        <is>
          <t>Google広告</t>
        </is>
      </c>
      <c r="D5" s="30" t="n">
        <v>1000</v>
      </c>
      <c r="E5" s="31" t="n">
        <v>120</v>
      </c>
      <c r="F5" s="31" t="n">
        <v>8</v>
      </c>
      <c r="G5" s="30">
        <f>IFERROR(D5/F5,"")</f>
        <v/>
      </c>
      <c r="H5" s="31" t="n">
        <v>1</v>
      </c>
      <c r="I5" s="30">
        <f>IFERROR(D5/H5,"")</f>
        <v/>
      </c>
      <c r="J5" s="32" t="inlineStr">
        <is>
          <t>初日・キーワード:排水 詰まり</t>
        </is>
      </c>
    </row>
    <row r="6">
      <c r="B6" s="28" t="n"/>
      <c r="C6" s="29" t="n"/>
      <c r="D6" s="30" t="n"/>
      <c r="E6" s="31" t="n"/>
      <c r="F6" s="31" t="n"/>
      <c r="G6" s="30">
        <f>IFERROR(D6/F6,"")</f>
        <v/>
      </c>
      <c r="H6" s="31" t="n"/>
      <c r="I6" s="30">
        <f>IFERROR(D6/H6,"")</f>
        <v/>
      </c>
      <c r="J6" s="29" t="n"/>
    </row>
    <row r="7">
      <c r="B7" s="28" t="n"/>
      <c r="C7" s="29" t="n"/>
      <c r="D7" s="30" t="n"/>
      <c r="E7" s="31" t="n"/>
      <c r="F7" s="31" t="n"/>
      <c r="G7" s="30">
        <f>IFERROR(D7/F7,"")</f>
        <v/>
      </c>
      <c r="H7" s="31" t="n"/>
      <c r="I7" s="30">
        <f>IFERROR(D7/H7,"")</f>
        <v/>
      </c>
      <c r="J7" s="29" t="n"/>
    </row>
    <row r="8">
      <c r="B8" s="28" t="n"/>
      <c r="C8" s="29" t="n"/>
      <c r="D8" s="30" t="n"/>
      <c r="E8" s="31" t="n"/>
      <c r="F8" s="31" t="n"/>
      <c r="G8" s="30">
        <f>IFERROR(D8/F8,"")</f>
        <v/>
      </c>
      <c r="H8" s="31" t="n"/>
      <c r="I8" s="30">
        <f>IFERROR(D8/H8,"")</f>
        <v/>
      </c>
      <c r="J8" s="29" t="n"/>
    </row>
    <row r="9">
      <c r="B9" s="28" t="n"/>
      <c r="C9" s="29" t="n"/>
      <c r="D9" s="30" t="n"/>
      <c r="E9" s="31" t="n"/>
      <c r="F9" s="31" t="n"/>
      <c r="G9" s="30">
        <f>IFERROR(D9/F9,"")</f>
        <v/>
      </c>
      <c r="H9" s="31" t="n"/>
      <c r="I9" s="30">
        <f>IFERROR(D9/H9,"")</f>
        <v/>
      </c>
      <c r="J9" s="29" t="n"/>
    </row>
    <row r="10">
      <c r="B10" s="28" t="n"/>
      <c r="C10" s="29" t="n"/>
      <c r="D10" s="30" t="n"/>
      <c r="E10" s="31" t="n"/>
      <c r="F10" s="31" t="n"/>
      <c r="G10" s="30">
        <f>IFERROR(D10/F10,"")</f>
        <v/>
      </c>
      <c r="H10" s="31" t="n"/>
      <c r="I10" s="30">
        <f>IFERROR(D10/H10,"")</f>
        <v/>
      </c>
      <c r="J10" s="29" t="n"/>
    </row>
    <row r="11">
      <c r="B11" s="28" t="n"/>
      <c r="C11" s="29" t="n"/>
      <c r="D11" s="30" t="n"/>
      <c r="E11" s="31" t="n"/>
      <c r="F11" s="31" t="n"/>
      <c r="G11" s="30">
        <f>IFERROR(D11/F11,"")</f>
        <v/>
      </c>
      <c r="H11" s="31" t="n"/>
      <c r="I11" s="30">
        <f>IFERROR(D11/H11,"")</f>
        <v/>
      </c>
      <c r="J11" s="29" t="n"/>
    </row>
    <row r="12">
      <c r="B12" s="28" t="n"/>
      <c r="C12" s="29" t="n"/>
      <c r="D12" s="30" t="n"/>
      <c r="E12" s="31" t="n"/>
      <c r="F12" s="31" t="n"/>
      <c r="G12" s="30">
        <f>IFERROR(D12/F12,"")</f>
        <v/>
      </c>
      <c r="H12" s="31" t="n"/>
      <c r="I12" s="30">
        <f>IFERROR(D12/H12,"")</f>
        <v/>
      </c>
      <c r="J12" s="29" t="n"/>
    </row>
    <row r="13">
      <c r="B13" s="28" t="n"/>
      <c r="C13" s="29" t="n"/>
      <c r="D13" s="30" t="n"/>
      <c r="E13" s="31" t="n"/>
      <c r="F13" s="31" t="n"/>
      <c r="G13" s="30">
        <f>IFERROR(D13/F13,"")</f>
        <v/>
      </c>
      <c r="H13" s="31" t="n"/>
      <c r="I13" s="30">
        <f>IFERROR(D13/H13,"")</f>
        <v/>
      </c>
      <c r="J13" s="29" t="n"/>
    </row>
    <row r="14">
      <c r="B14" s="28" t="n"/>
      <c r="C14" s="29" t="n"/>
      <c r="D14" s="30" t="n"/>
      <c r="E14" s="31" t="n"/>
      <c r="F14" s="31" t="n"/>
      <c r="G14" s="30">
        <f>IFERROR(D14/F14,"")</f>
        <v/>
      </c>
      <c r="H14" s="31" t="n"/>
      <c r="I14" s="30">
        <f>IFERROR(D14/H14,"")</f>
        <v/>
      </c>
      <c r="J14" s="29" t="n"/>
    </row>
    <row r="15">
      <c r="B15" s="28" t="n"/>
      <c r="C15" s="29" t="n"/>
      <c r="D15" s="30" t="n"/>
      <c r="E15" s="31" t="n"/>
      <c r="F15" s="31" t="n"/>
      <c r="G15" s="30">
        <f>IFERROR(D15/F15,"")</f>
        <v/>
      </c>
      <c r="H15" s="31" t="n"/>
      <c r="I15" s="30">
        <f>IFERROR(D15/H15,"")</f>
        <v/>
      </c>
      <c r="J15" s="29" t="n"/>
    </row>
    <row r="16">
      <c r="B16" s="28" t="n"/>
      <c r="C16" s="29" t="n"/>
      <c r="D16" s="30" t="n"/>
      <c r="E16" s="31" t="n"/>
      <c r="F16" s="31" t="n"/>
      <c r="G16" s="30">
        <f>IFERROR(D16/F16,"")</f>
        <v/>
      </c>
      <c r="H16" s="31" t="n"/>
      <c r="I16" s="30">
        <f>IFERROR(D16/H16,"")</f>
        <v/>
      </c>
      <c r="J16" s="29" t="n"/>
    </row>
    <row r="17">
      <c r="B17" s="28" t="n"/>
      <c r="C17" s="29" t="n"/>
      <c r="D17" s="30" t="n"/>
      <c r="E17" s="31" t="n"/>
      <c r="F17" s="31" t="n"/>
      <c r="G17" s="30">
        <f>IFERROR(D17/F17,"")</f>
        <v/>
      </c>
      <c r="H17" s="31" t="n"/>
      <c r="I17" s="30">
        <f>IFERROR(D17/H17,"")</f>
        <v/>
      </c>
      <c r="J17" s="29" t="n"/>
    </row>
    <row r="18">
      <c r="B18" s="28" t="n"/>
      <c r="C18" s="29" t="n"/>
      <c r="D18" s="30" t="n"/>
      <c r="E18" s="31" t="n"/>
      <c r="F18" s="31" t="n"/>
      <c r="G18" s="30">
        <f>IFERROR(D18/F18,"")</f>
        <v/>
      </c>
      <c r="H18" s="31" t="n"/>
      <c r="I18" s="30">
        <f>IFERROR(D18/H18,"")</f>
        <v/>
      </c>
      <c r="J18" s="29" t="n"/>
    </row>
    <row r="19">
      <c r="B19" s="28" t="n"/>
      <c r="C19" s="29" t="n"/>
      <c r="D19" s="30" t="n"/>
      <c r="E19" s="31" t="n"/>
      <c r="F19" s="31" t="n"/>
      <c r="G19" s="30">
        <f>IFERROR(D19/F19,"")</f>
        <v/>
      </c>
      <c r="H19" s="31" t="n"/>
      <c r="I19" s="30">
        <f>IFERROR(D19/H19,"")</f>
        <v/>
      </c>
      <c r="J19" s="29" t="n"/>
    </row>
    <row r="20">
      <c r="B20" s="28" t="n"/>
      <c r="C20" s="29" t="n"/>
      <c r="D20" s="30" t="n"/>
      <c r="E20" s="31" t="n"/>
      <c r="F20" s="31" t="n"/>
      <c r="G20" s="30">
        <f>IFERROR(D20/F20,"")</f>
        <v/>
      </c>
      <c r="H20" s="31" t="n"/>
      <c r="I20" s="30">
        <f>IFERROR(D20/H20,"")</f>
        <v/>
      </c>
      <c r="J20" s="29" t="n"/>
    </row>
    <row r="21">
      <c r="B21" s="28" t="n"/>
      <c r="C21" s="29" t="n"/>
      <c r="D21" s="30" t="n"/>
      <c r="E21" s="31" t="n"/>
      <c r="F21" s="31" t="n"/>
      <c r="G21" s="30">
        <f>IFERROR(D21/F21,"")</f>
        <v/>
      </c>
      <c r="H21" s="31" t="n"/>
      <c r="I21" s="30">
        <f>IFERROR(D21/H21,"")</f>
        <v/>
      </c>
      <c r="J21" s="29" t="n"/>
    </row>
    <row r="22">
      <c r="B22" s="28" t="n"/>
      <c r="C22" s="29" t="n"/>
      <c r="D22" s="30" t="n"/>
      <c r="E22" s="31" t="n"/>
      <c r="F22" s="31" t="n"/>
      <c r="G22" s="30">
        <f>IFERROR(D22/F22,"")</f>
        <v/>
      </c>
      <c r="H22" s="31" t="n"/>
      <c r="I22" s="30">
        <f>IFERROR(D22/H22,"")</f>
        <v/>
      </c>
      <c r="J22" s="29" t="n"/>
    </row>
    <row r="23">
      <c r="B23" s="28" t="n"/>
      <c r="C23" s="29" t="n"/>
      <c r="D23" s="30" t="n"/>
      <c r="E23" s="31" t="n"/>
      <c r="F23" s="31" t="n"/>
      <c r="G23" s="30">
        <f>IFERROR(D23/F23,"")</f>
        <v/>
      </c>
      <c r="H23" s="31" t="n"/>
      <c r="I23" s="30">
        <f>IFERROR(D23/H23,"")</f>
        <v/>
      </c>
      <c r="J23" s="29" t="n"/>
    </row>
    <row r="24">
      <c r="B24" s="28" t="n"/>
      <c r="C24" s="29" t="n"/>
      <c r="D24" s="30" t="n"/>
      <c r="E24" s="31" t="n"/>
      <c r="F24" s="31" t="n"/>
      <c r="G24" s="30">
        <f>IFERROR(D24/F24,"")</f>
        <v/>
      </c>
      <c r="H24" s="31" t="n"/>
      <c r="I24" s="30">
        <f>IFERROR(D24/H24,"")</f>
        <v/>
      </c>
      <c r="J24" s="29" t="n"/>
    </row>
    <row r="25">
      <c r="B25" s="28" t="n"/>
      <c r="C25" s="29" t="n"/>
      <c r="D25" s="30" t="n"/>
      <c r="E25" s="31" t="n"/>
      <c r="F25" s="31" t="n"/>
      <c r="G25" s="30">
        <f>IFERROR(D25/F25,"")</f>
        <v/>
      </c>
      <c r="H25" s="31" t="n"/>
      <c r="I25" s="30">
        <f>IFERROR(D25/H25,"")</f>
        <v/>
      </c>
      <c r="J25" s="29" t="n"/>
    </row>
    <row r="26">
      <c r="B26" s="28" t="n"/>
      <c r="C26" s="29" t="n"/>
      <c r="D26" s="30" t="n"/>
      <c r="E26" s="31" t="n"/>
      <c r="F26" s="31" t="n"/>
      <c r="G26" s="30">
        <f>IFERROR(D26/F26,"")</f>
        <v/>
      </c>
      <c r="H26" s="31" t="n"/>
      <c r="I26" s="30">
        <f>IFERROR(D26/H26,"")</f>
        <v/>
      </c>
      <c r="J26" s="29" t="n"/>
    </row>
    <row r="27">
      <c r="B27" s="28" t="n"/>
      <c r="C27" s="29" t="n"/>
      <c r="D27" s="30" t="n"/>
      <c r="E27" s="31" t="n"/>
      <c r="F27" s="31" t="n"/>
      <c r="G27" s="30">
        <f>IFERROR(D27/F27,"")</f>
        <v/>
      </c>
      <c r="H27" s="31" t="n"/>
      <c r="I27" s="30">
        <f>IFERROR(D27/H27,"")</f>
        <v/>
      </c>
      <c r="J27" s="29" t="n"/>
    </row>
    <row r="28">
      <c r="B28" s="28" t="n"/>
      <c r="C28" s="29" t="n"/>
      <c r="D28" s="30" t="n"/>
      <c r="E28" s="31" t="n"/>
      <c r="F28" s="31" t="n"/>
      <c r="G28" s="30">
        <f>IFERROR(D28/F28,"")</f>
        <v/>
      </c>
      <c r="H28" s="31" t="n"/>
      <c r="I28" s="30">
        <f>IFERROR(D28/H28,"")</f>
        <v/>
      </c>
      <c r="J28" s="29" t="n"/>
    </row>
    <row r="29">
      <c r="B29" s="28" t="n"/>
      <c r="C29" s="29" t="n"/>
      <c r="D29" s="30" t="n"/>
      <c r="E29" s="31" t="n"/>
      <c r="F29" s="31" t="n"/>
      <c r="G29" s="30">
        <f>IFERROR(D29/F29,"")</f>
        <v/>
      </c>
      <c r="H29" s="31" t="n"/>
      <c r="I29" s="30">
        <f>IFERROR(D29/H29,"")</f>
        <v/>
      </c>
      <c r="J29" s="29" t="n"/>
    </row>
    <row r="30">
      <c r="B30" s="28" t="n"/>
      <c r="C30" s="29" t="n"/>
      <c r="D30" s="30" t="n"/>
      <c r="E30" s="31" t="n"/>
      <c r="F30" s="31" t="n"/>
      <c r="G30" s="30">
        <f>IFERROR(D30/F30,"")</f>
        <v/>
      </c>
      <c r="H30" s="31" t="n"/>
      <c r="I30" s="30">
        <f>IFERROR(D30/H30,"")</f>
        <v/>
      </c>
      <c r="J30" s="29" t="n"/>
    </row>
    <row r="31">
      <c r="B31" s="28" t="n"/>
      <c r="C31" s="29" t="n"/>
      <c r="D31" s="30" t="n"/>
      <c r="E31" s="31" t="n"/>
      <c r="F31" s="31" t="n"/>
      <c r="G31" s="30">
        <f>IFERROR(D31/F31,"")</f>
        <v/>
      </c>
      <c r="H31" s="31" t="n"/>
      <c r="I31" s="30">
        <f>IFERROR(D31/H31,"")</f>
        <v/>
      </c>
      <c r="J31" s="29" t="n"/>
    </row>
    <row r="32">
      <c r="B32" s="28" t="n"/>
      <c r="C32" s="29" t="n"/>
      <c r="D32" s="30" t="n"/>
      <c r="E32" s="31" t="n"/>
      <c r="F32" s="31" t="n"/>
      <c r="G32" s="30">
        <f>IFERROR(D32/F32,"")</f>
        <v/>
      </c>
      <c r="H32" s="31" t="n"/>
      <c r="I32" s="30">
        <f>IFERROR(D32/H32,"")</f>
        <v/>
      </c>
      <c r="J32" s="29" t="n"/>
    </row>
    <row r="33">
      <c r="B33" s="28" t="n"/>
      <c r="C33" s="29" t="n"/>
      <c r="D33" s="30" t="n"/>
      <c r="E33" s="31" t="n"/>
      <c r="F33" s="31" t="n"/>
      <c r="G33" s="30">
        <f>IFERROR(D33/F33,"")</f>
        <v/>
      </c>
      <c r="H33" s="31" t="n"/>
      <c r="I33" s="30">
        <f>IFERROR(D33/H33,"")</f>
        <v/>
      </c>
      <c r="J33" s="29" t="n"/>
    </row>
    <row r="34">
      <c r="B34" s="28" t="n"/>
      <c r="C34" s="29" t="n"/>
      <c r="D34" s="30" t="n"/>
      <c r="E34" s="31" t="n"/>
      <c r="F34" s="31" t="n"/>
      <c r="G34" s="30">
        <f>IFERROR(D34/F34,"")</f>
        <v/>
      </c>
      <c r="H34" s="31" t="n"/>
      <c r="I34" s="30">
        <f>IFERROR(D34/H34,"")</f>
        <v/>
      </c>
      <c r="J34" s="29" t="n"/>
    </row>
    <row r="35">
      <c r="B35" s="28" t="n"/>
      <c r="C35" s="29" t="n"/>
      <c r="D35" s="30" t="n"/>
      <c r="E35" s="31" t="n"/>
      <c r="F35" s="31" t="n"/>
      <c r="G35" s="30">
        <f>IFERROR(D35/F35,"")</f>
        <v/>
      </c>
      <c r="H35" s="31" t="n"/>
      <c r="I35" s="30">
        <f>IFERROR(D35/H35,"")</f>
        <v/>
      </c>
      <c r="J35" s="29" t="n"/>
    </row>
    <row r="36">
      <c r="B36" s="28" t="n"/>
      <c r="C36" s="29" t="n"/>
      <c r="D36" s="30" t="n"/>
      <c r="E36" s="31" t="n"/>
      <c r="F36" s="31" t="n"/>
      <c r="G36" s="30">
        <f>IFERROR(D36/F36,"")</f>
        <v/>
      </c>
      <c r="H36" s="31" t="n"/>
      <c r="I36" s="30">
        <f>IFERROR(D36/H36,"")</f>
        <v/>
      </c>
      <c r="J36" s="29" t="n"/>
    </row>
    <row r="37">
      <c r="B37" s="28" t="n"/>
      <c r="C37" s="29" t="n"/>
      <c r="D37" s="30" t="n"/>
      <c r="E37" s="31" t="n"/>
      <c r="F37" s="31" t="n"/>
      <c r="G37" s="30">
        <f>IFERROR(D37/F37,"")</f>
        <v/>
      </c>
      <c r="H37" s="31" t="n"/>
      <c r="I37" s="30">
        <f>IFERROR(D37/H37,"")</f>
        <v/>
      </c>
      <c r="J37" s="29" t="n"/>
    </row>
    <row r="38">
      <c r="B38" s="28" t="n"/>
      <c r="C38" s="29" t="n"/>
      <c r="D38" s="30" t="n"/>
      <c r="E38" s="31" t="n"/>
      <c r="F38" s="31" t="n"/>
      <c r="G38" s="30">
        <f>IFERROR(D38/F38,"")</f>
        <v/>
      </c>
      <c r="H38" s="31" t="n"/>
      <c r="I38" s="30">
        <f>IFERROR(D38/H38,"")</f>
        <v/>
      </c>
      <c r="J38" s="29" t="n"/>
    </row>
    <row r="39">
      <c r="B39" s="28" t="n"/>
      <c r="C39" s="29" t="n"/>
      <c r="D39" s="30" t="n"/>
      <c r="E39" s="31" t="n"/>
      <c r="F39" s="31" t="n"/>
      <c r="G39" s="30">
        <f>IFERROR(D39/F39,"")</f>
        <v/>
      </c>
      <c r="H39" s="31" t="n"/>
      <c r="I39" s="30">
        <f>IFERROR(D39/H39,"")</f>
        <v/>
      </c>
      <c r="J39" s="29" t="n"/>
    </row>
    <row r="40">
      <c r="B40" s="28" t="n"/>
      <c r="C40" s="29" t="n"/>
      <c r="D40" s="30" t="n"/>
      <c r="E40" s="31" t="n"/>
      <c r="F40" s="31" t="n"/>
      <c r="G40" s="30">
        <f>IFERROR(D40/F40,"")</f>
        <v/>
      </c>
      <c r="H40" s="31" t="n"/>
      <c r="I40" s="30">
        <f>IFERROR(D40/H40,"")</f>
        <v/>
      </c>
      <c r="J40" s="29" t="n"/>
    </row>
    <row r="41">
      <c r="B41" s="28" t="n"/>
      <c r="C41" s="29" t="n"/>
      <c r="D41" s="30" t="n"/>
      <c r="E41" s="31" t="n"/>
      <c r="F41" s="31" t="n"/>
      <c r="G41" s="30">
        <f>IFERROR(D41/F41,"")</f>
        <v/>
      </c>
      <c r="H41" s="31" t="n"/>
      <c r="I41" s="30">
        <f>IFERROR(D41/H41,"")</f>
        <v/>
      </c>
      <c r="J41" s="29" t="n"/>
    </row>
    <row r="42">
      <c r="B42" s="28" t="n"/>
      <c r="C42" s="29" t="n"/>
      <c r="D42" s="30" t="n"/>
      <c r="E42" s="31" t="n"/>
      <c r="F42" s="31" t="n"/>
      <c r="G42" s="30">
        <f>IFERROR(D42/F42,"")</f>
        <v/>
      </c>
      <c r="H42" s="31" t="n"/>
      <c r="I42" s="30">
        <f>IFERROR(D42/H42,"")</f>
        <v/>
      </c>
      <c r="J42" s="29" t="n"/>
    </row>
    <row r="43">
      <c r="B43" s="28" t="n"/>
      <c r="C43" s="29" t="n"/>
      <c r="D43" s="30" t="n"/>
      <c r="E43" s="31" t="n"/>
      <c r="F43" s="31" t="n"/>
      <c r="G43" s="30">
        <f>IFERROR(D43/F43,"")</f>
        <v/>
      </c>
      <c r="H43" s="31" t="n"/>
      <c r="I43" s="30">
        <f>IFERROR(D43/H43,"")</f>
        <v/>
      </c>
      <c r="J43" s="29" t="n"/>
    </row>
    <row r="44">
      <c r="B44" s="28" t="n"/>
      <c r="C44" s="29" t="n"/>
      <c r="D44" s="30" t="n"/>
      <c r="E44" s="31" t="n"/>
      <c r="F44" s="31" t="n"/>
      <c r="G44" s="30">
        <f>IFERROR(D44/F44,"")</f>
        <v/>
      </c>
      <c r="H44" s="31" t="n"/>
      <c r="I44" s="30">
        <f>IFERROR(D44/H44,"")</f>
        <v/>
      </c>
      <c r="J44" s="29" t="n"/>
    </row>
    <row r="45">
      <c r="B45" s="28" t="n"/>
      <c r="C45" s="29" t="n"/>
      <c r="D45" s="30" t="n"/>
      <c r="E45" s="31" t="n"/>
      <c r="F45" s="31" t="n"/>
      <c r="G45" s="30">
        <f>IFERROR(D45/F45,"")</f>
        <v/>
      </c>
      <c r="H45" s="31" t="n"/>
      <c r="I45" s="30">
        <f>IFERROR(D45/H45,"")</f>
        <v/>
      </c>
      <c r="J45" s="29" t="n"/>
    </row>
    <row r="46">
      <c r="B46" s="28" t="n"/>
      <c r="C46" s="29" t="n"/>
      <c r="D46" s="30" t="n"/>
      <c r="E46" s="31" t="n"/>
      <c r="F46" s="31" t="n"/>
      <c r="G46" s="30">
        <f>IFERROR(D46/F46,"")</f>
        <v/>
      </c>
      <c r="H46" s="31" t="n"/>
      <c r="I46" s="30">
        <f>IFERROR(D46/H46,"")</f>
        <v/>
      </c>
      <c r="J46" s="29" t="n"/>
    </row>
    <row r="47">
      <c r="B47" s="28" t="n"/>
      <c r="C47" s="29" t="n"/>
      <c r="D47" s="30" t="n"/>
      <c r="E47" s="31" t="n"/>
      <c r="F47" s="31" t="n"/>
      <c r="G47" s="30">
        <f>IFERROR(D47/F47,"")</f>
        <v/>
      </c>
      <c r="H47" s="31" t="n"/>
      <c r="I47" s="30">
        <f>IFERROR(D47/H47,"")</f>
        <v/>
      </c>
      <c r="J47" s="29" t="n"/>
    </row>
    <row r="48">
      <c r="B48" s="28" t="n"/>
      <c r="C48" s="29" t="n"/>
      <c r="D48" s="30" t="n"/>
      <c r="E48" s="31" t="n"/>
      <c r="F48" s="31" t="n"/>
      <c r="G48" s="30">
        <f>IFERROR(D48/F48,"")</f>
        <v/>
      </c>
      <c r="H48" s="31" t="n"/>
      <c r="I48" s="30">
        <f>IFERROR(D48/H48,"")</f>
        <v/>
      </c>
      <c r="J48" s="29" t="n"/>
    </row>
    <row r="49">
      <c r="B49" s="28" t="n"/>
      <c r="C49" s="29" t="n"/>
      <c r="D49" s="30" t="n"/>
      <c r="E49" s="31" t="n"/>
      <c r="F49" s="31" t="n"/>
      <c r="G49" s="30">
        <f>IFERROR(D49/F49,"")</f>
        <v/>
      </c>
      <c r="H49" s="31" t="n"/>
      <c r="I49" s="30">
        <f>IFERROR(D49/H49,"")</f>
        <v/>
      </c>
      <c r="J49" s="29" t="n"/>
    </row>
    <row r="50">
      <c r="B50" s="28" t="n"/>
      <c r="C50" s="29" t="n"/>
      <c r="D50" s="30" t="n"/>
      <c r="E50" s="31" t="n"/>
      <c r="F50" s="31" t="n"/>
      <c r="G50" s="30">
        <f>IFERROR(D50/F50,"")</f>
        <v/>
      </c>
      <c r="H50" s="31" t="n"/>
      <c r="I50" s="30">
        <f>IFERROR(D50/H50,"")</f>
        <v/>
      </c>
      <c r="J50" s="29" t="n"/>
    </row>
    <row r="51">
      <c r="B51" s="28" t="n"/>
      <c r="C51" s="29" t="n"/>
      <c r="D51" s="30" t="n"/>
      <c r="E51" s="31" t="n"/>
      <c r="F51" s="31" t="n"/>
      <c r="G51" s="30">
        <f>IFERROR(D51/F51,"")</f>
        <v/>
      </c>
      <c r="H51" s="31" t="n"/>
      <c r="I51" s="30">
        <f>IFERROR(D51/H51,"")</f>
        <v/>
      </c>
      <c r="J51" s="29" t="n"/>
    </row>
    <row r="52">
      <c r="B52" s="28" t="n"/>
      <c r="C52" s="29" t="n"/>
      <c r="D52" s="30" t="n"/>
      <c r="E52" s="31" t="n"/>
      <c r="F52" s="31" t="n"/>
      <c r="G52" s="30">
        <f>IFERROR(D52/F52,"")</f>
        <v/>
      </c>
      <c r="H52" s="31" t="n"/>
      <c r="I52" s="30">
        <f>IFERROR(D52/H52,"")</f>
        <v/>
      </c>
      <c r="J52" s="29" t="n"/>
    </row>
    <row r="53">
      <c r="B53" s="28" t="n"/>
      <c r="C53" s="29" t="n"/>
      <c r="D53" s="30" t="n"/>
      <c r="E53" s="31" t="n"/>
      <c r="F53" s="31" t="n"/>
      <c r="G53" s="30">
        <f>IFERROR(D53/F53,"")</f>
        <v/>
      </c>
      <c r="H53" s="31" t="n"/>
      <c r="I53" s="30">
        <f>IFERROR(D53/H53,"")</f>
        <v/>
      </c>
      <c r="J53" s="29" t="n"/>
    </row>
    <row r="54">
      <c r="B54" s="28" t="n"/>
      <c r="C54" s="29" t="n"/>
      <c r="D54" s="30" t="n"/>
      <c r="E54" s="31" t="n"/>
      <c r="F54" s="31" t="n"/>
      <c r="G54" s="30">
        <f>IFERROR(D54/F54,"")</f>
        <v/>
      </c>
      <c r="H54" s="31" t="n"/>
      <c r="I54" s="30">
        <f>IFERROR(D54/H54,"")</f>
        <v/>
      </c>
      <c r="J54" s="29" t="n"/>
    </row>
    <row r="55">
      <c r="B55" s="28" t="n"/>
      <c r="C55" s="29" t="n"/>
      <c r="D55" s="30" t="n"/>
      <c r="E55" s="31" t="n"/>
      <c r="F55" s="31" t="n"/>
      <c r="G55" s="30">
        <f>IFERROR(D55/F55,"")</f>
        <v/>
      </c>
      <c r="H55" s="31" t="n"/>
      <c r="I55" s="30">
        <f>IFERROR(D55/H55,"")</f>
        <v/>
      </c>
      <c r="J55" s="29" t="n"/>
    </row>
    <row r="56">
      <c r="B56" s="28" t="n"/>
      <c r="C56" s="29" t="n"/>
      <c r="D56" s="30" t="n"/>
      <c r="E56" s="31" t="n"/>
      <c r="F56" s="31" t="n"/>
      <c r="G56" s="30">
        <f>IFERROR(D56/F56,"")</f>
        <v/>
      </c>
      <c r="H56" s="31" t="n"/>
      <c r="I56" s="30">
        <f>IFERROR(D56/H56,"")</f>
        <v/>
      </c>
      <c r="J56" s="29" t="n"/>
    </row>
    <row r="57">
      <c r="B57" s="28" t="n"/>
      <c r="C57" s="29" t="n"/>
      <c r="D57" s="30" t="n"/>
      <c r="E57" s="31" t="n"/>
      <c r="F57" s="31" t="n"/>
      <c r="G57" s="30">
        <f>IFERROR(D57/F57,"")</f>
        <v/>
      </c>
      <c r="H57" s="31" t="n"/>
      <c r="I57" s="30">
        <f>IFERROR(D57/H57,"")</f>
        <v/>
      </c>
      <c r="J57" s="29" t="n"/>
    </row>
    <row r="58">
      <c r="B58" s="28" t="n"/>
      <c r="C58" s="29" t="n"/>
      <c r="D58" s="30" t="n"/>
      <c r="E58" s="31" t="n"/>
      <c r="F58" s="31" t="n"/>
      <c r="G58" s="30">
        <f>IFERROR(D58/F58,"")</f>
        <v/>
      </c>
      <c r="H58" s="31" t="n"/>
      <c r="I58" s="30">
        <f>IFERROR(D58/H58,"")</f>
        <v/>
      </c>
      <c r="J58" s="29" t="n"/>
    </row>
    <row r="59">
      <c r="B59" s="28" t="n"/>
      <c r="C59" s="29" t="n"/>
      <c r="D59" s="30" t="n"/>
      <c r="E59" s="31" t="n"/>
      <c r="F59" s="31" t="n"/>
      <c r="G59" s="30">
        <f>IFERROR(D59/F59,"")</f>
        <v/>
      </c>
      <c r="H59" s="31" t="n"/>
      <c r="I59" s="30">
        <f>IFERROR(D59/H59,"")</f>
        <v/>
      </c>
      <c r="J59" s="29" t="n"/>
    </row>
    <row r="60">
      <c r="B60" s="28" t="n"/>
      <c r="C60" s="29" t="n"/>
      <c r="D60" s="30" t="n"/>
      <c r="E60" s="31" t="n"/>
      <c r="F60" s="31" t="n"/>
      <c r="G60" s="30">
        <f>IFERROR(D60/F60,"")</f>
        <v/>
      </c>
      <c r="H60" s="31" t="n"/>
      <c r="I60" s="30">
        <f>IFERROR(D60/H60,"")</f>
        <v/>
      </c>
      <c r="J60" s="29" t="n"/>
    </row>
    <row r="61">
      <c r="B61" s="28" t="n"/>
      <c r="C61" s="29" t="n"/>
      <c r="D61" s="30" t="n"/>
      <c r="E61" s="31" t="n"/>
      <c r="F61" s="31" t="n"/>
      <c r="G61" s="30">
        <f>IFERROR(D61/F61,"")</f>
        <v/>
      </c>
      <c r="H61" s="31" t="n"/>
      <c r="I61" s="30">
        <f>IFERROR(D61/H61,"")</f>
        <v/>
      </c>
      <c r="J61" s="29" t="n"/>
    </row>
    <row r="62">
      <c r="B62" s="28" t="n"/>
      <c r="C62" s="29" t="n"/>
      <c r="D62" s="30" t="n"/>
      <c r="E62" s="31" t="n"/>
      <c r="F62" s="31" t="n"/>
      <c r="G62" s="30">
        <f>IFERROR(D62/F62,"")</f>
        <v/>
      </c>
      <c r="H62" s="31" t="n"/>
      <c r="I62" s="30">
        <f>IFERROR(D62/H62,"")</f>
        <v/>
      </c>
      <c r="J62" s="29" t="n"/>
    </row>
    <row r="63">
      <c r="B63" s="28" t="n"/>
      <c r="C63" s="29" t="n"/>
      <c r="D63" s="30" t="n"/>
      <c r="E63" s="31" t="n"/>
      <c r="F63" s="31" t="n"/>
      <c r="G63" s="30">
        <f>IFERROR(D63/F63,"")</f>
        <v/>
      </c>
      <c r="H63" s="31" t="n"/>
      <c r="I63" s="30">
        <f>IFERROR(D63/H63,"")</f>
        <v/>
      </c>
      <c r="J63" s="29" t="n"/>
    </row>
    <row r="64">
      <c r="B64" s="28" t="n"/>
      <c r="C64" s="29" t="n"/>
      <c r="D64" s="30" t="n"/>
      <c r="E64" s="31" t="n"/>
      <c r="F64" s="31" t="n"/>
      <c r="G64" s="30">
        <f>IFERROR(D64/F64,"")</f>
        <v/>
      </c>
      <c r="H64" s="31" t="n"/>
      <c r="I64" s="30">
        <f>IFERROR(D64/H64,"")</f>
        <v/>
      </c>
      <c r="J64" s="29" t="n"/>
    </row>
  </sheetData>
  <mergeCells count="1"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2026-04-14T06:48:38Z</dcterms:created>
  <dcterms:modified xmlns:dcterms="http://purl.org/dc/terms/" xmlns:xsi="http://www.w3.org/2001/XMLSchema-instance" xsi:type="dcterms:W3CDTF">2026-04-14T06:48:38Z</dcterms:modified>
</cp:coreProperties>
</file>