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管理" sheetId="1" state="visible" r:id="rId1"/>
    <sheet xmlns:r="http://schemas.openxmlformats.org/officeDocument/2006/relationships" name="ダッシュボー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0.0%"/>
    <numFmt numFmtId="166" formatCode="#,##0&quot;円&quot;"/>
    <numFmt numFmtId="167" formatCode="0&quot;件&quot;"/>
  </numFmts>
  <fonts count="10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A2A4A"/>
      <sz val="16"/>
    </font>
    <font>
      <b val="1"/>
      <color rgb="00FFFFFF"/>
      <sz val="11"/>
    </font>
    <font>
      <sz val="10"/>
    </font>
    <font>
      <b val="1"/>
      <color rgb="001A2A4A"/>
      <sz val="11"/>
    </font>
    <font>
      <color rgb="00666666"/>
      <sz val="9"/>
    </font>
    <font>
      <b val="1"/>
      <color rgb="00C44A4A"/>
      <sz val="11"/>
    </font>
    <font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2C5F8A"/>
      </patternFill>
    </fill>
    <fill>
      <patternFill patternType="solid">
        <fgColor rgb="00F5F5F5"/>
      </patternFill>
    </fill>
    <fill>
      <patternFill patternType="solid">
        <fgColor rgb="00C44A4A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167" fontId="8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6F4EA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0" customWidth="1" min="4" max="4"/>
    <col width="8" customWidth="1" min="5" max="5"/>
    <col width="12" customWidth="1" min="6" max="6"/>
    <col width="14" customWidth="1" min="7" max="7"/>
    <col width="13" customWidth="1" min="8" max="8"/>
    <col width="22" customWidth="1" min="9" max="9"/>
    <col width="10" customWidth="1" min="10" max="10"/>
    <col width="7" customWidth="1" min="11" max="11"/>
    <col width="20" customWidth="1" min="12" max="12"/>
    <col width="11" customWidth="1" min="13" max="13"/>
    <col width="11" customWidth="1" min="14" max="14"/>
    <col width="9" customWidth="1" min="15" max="15"/>
    <col width="9" customWidth="1" min="16" max="16"/>
    <col width="20" customWidth="1" min="17" max="17"/>
    <col width="20" customWidth="1" min="18" max="18"/>
    <col width="10" customWidth="1" min="19" max="19"/>
    <col width="10" customWidth="1" min="20" max="20"/>
    <col width="7" customWidth="1" min="21" max="21"/>
    <col width="14" customWidth="1" min="22" max="22"/>
    <col width="10" customWidth="1" min="23" max="23"/>
    <col width="9" customWidth="1" min="24" max="24"/>
    <col width="10" customWidth="1" min="25" max="25"/>
    <col width="10" customWidth="1" min="26" max="26"/>
    <col width="11" customWidth="1" min="27" max="27"/>
    <col width="11" customWidth="1" min="28" max="28"/>
    <col width="8" customWidth="1" min="29" max="29"/>
    <col width="9" customWidth="1" min="30" max="30"/>
    <col width="8" customWidth="1" min="31" max="31"/>
    <col width="25" customWidth="1" min="32" max="32"/>
  </cols>
  <sheetData>
    <row r="1" ht="32" customHeight="1">
      <c r="A1" s="1" t="inlineStr">
        <is>
          <t>案件No</t>
        </is>
      </c>
      <c r="B1" s="1" t="inlineStr">
        <is>
          <t>受付日</t>
        </is>
      </c>
      <c r="C1" s="1" t="inlineStr">
        <is>
          <t>受付時刻</t>
        </is>
      </c>
      <c r="D1" s="1" t="inlineStr">
        <is>
          <t>問合せ経路</t>
        </is>
      </c>
      <c r="E1" s="1" t="inlineStr">
        <is>
          <t>広告経由</t>
        </is>
      </c>
      <c r="F1" s="1" t="inlineStr">
        <is>
          <t>検索KW</t>
        </is>
      </c>
      <c r="G1" s="1" t="inlineStr">
        <is>
          <t>お客様名</t>
        </is>
      </c>
      <c r="H1" s="1" t="inlineStr">
        <is>
          <t>電話番号</t>
        </is>
      </c>
      <c r="I1" s="1" t="inlineStr">
        <is>
          <t>住所</t>
        </is>
      </c>
      <c r="J1" s="1" t="inlineStr">
        <is>
          <t>建物種別</t>
        </is>
      </c>
      <c r="K1" s="1" t="inlineStr">
        <is>
          <t>築年数</t>
        </is>
      </c>
      <c r="L1" s="1" t="inlineStr">
        <is>
          <t>症状概要</t>
        </is>
      </c>
      <c r="M1" s="1" t="inlineStr">
        <is>
          <t>訪問希望日</t>
        </is>
      </c>
      <c r="N1" s="1" t="inlineStr">
        <is>
          <t>訪問確定日</t>
        </is>
      </c>
      <c r="O1" s="1" t="inlineStr">
        <is>
          <t>訪問時刻</t>
        </is>
      </c>
      <c r="P1" s="1" t="inlineStr">
        <is>
          <t>担当者</t>
        </is>
      </c>
      <c r="Q1" s="1" t="inlineStr">
        <is>
          <t>現地所見</t>
        </is>
      </c>
      <c r="R1" s="1" t="inlineStr">
        <is>
          <t>作業内容</t>
        </is>
      </c>
      <c r="S1" s="1" t="inlineStr">
        <is>
          <t>作業時間(分)</t>
        </is>
      </c>
      <c r="T1" s="1" t="inlineStr">
        <is>
          <t>見積額</t>
        </is>
      </c>
      <c r="U1" s="1" t="inlineStr">
        <is>
          <t>成約</t>
        </is>
      </c>
      <c r="V1" s="1" t="inlineStr">
        <is>
          <t>辞退理由</t>
        </is>
      </c>
      <c r="W1" s="1" t="inlineStr">
        <is>
          <t>実受領額</t>
        </is>
      </c>
      <c r="X1" s="1" t="inlineStr">
        <is>
          <t>材料費</t>
        </is>
      </c>
      <c r="Y1" s="1" t="inlineStr">
        <is>
          <t>粗利</t>
        </is>
      </c>
      <c r="Z1" s="1" t="inlineStr">
        <is>
          <t>支払方法</t>
        </is>
      </c>
      <c r="AA1" s="1" t="inlineStr">
        <is>
          <t>完了日</t>
        </is>
      </c>
      <c r="AB1" s="1" t="inlineStr">
        <is>
          <t>保証期限</t>
        </is>
      </c>
      <c r="AC1" s="1" t="inlineStr">
        <is>
          <t>アフター</t>
        </is>
      </c>
      <c r="AD1" s="1" t="inlineStr">
        <is>
          <t>口コミ依頼</t>
        </is>
      </c>
      <c r="AE1" s="1" t="inlineStr">
        <is>
          <t>クレーム</t>
        </is>
      </c>
      <c r="AF1" s="1" t="inlineStr">
        <is>
          <t>備考</t>
        </is>
      </c>
    </row>
    <row r="2" ht="22" customHeight="1">
      <c r="A2" s="2" t="inlineStr">
        <is>
          <t>001</t>
        </is>
      </c>
      <c r="B2" s="3" t="inlineStr">
        <is>
          <t>2026-04-15</t>
        </is>
      </c>
      <c r="C2" s="4" t="inlineStr">
        <is>
          <t>10:30</t>
        </is>
      </c>
      <c r="D2" s="4" t="inlineStr">
        <is>
          <t>電話</t>
        </is>
      </c>
      <c r="E2" s="4" t="inlineStr">
        <is>
          <t>YES</t>
        </is>
      </c>
      <c r="F2" s="4" t="inlineStr">
        <is>
          <t>排水 詰まり 名古屋</t>
        </is>
      </c>
      <c r="G2" s="4" t="inlineStr">
        <is>
          <t>山田 太郎</t>
        </is>
      </c>
      <c r="H2" s="4" t="inlineStr">
        <is>
          <t>090-1234-5678</t>
        </is>
      </c>
      <c r="I2" s="4" t="inlineStr">
        <is>
          <t>名古屋市中川区○○町1-2-3</t>
        </is>
      </c>
      <c r="J2" s="4" t="inlineStr">
        <is>
          <t>戸建て</t>
        </is>
      </c>
      <c r="K2" s="4" t="n">
        <v>25</v>
      </c>
      <c r="L2" s="4" t="inlineStr">
        <is>
          <t>キッチン排水が流れない。ゴボゴボ音あり</t>
        </is>
      </c>
      <c r="M2" s="3" t="inlineStr">
        <is>
          <t>2026-04-15</t>
        </is>
      </c>
      <c r="N2" s="3" t="inlineStr">
        <is>
          <t>2026-04-15</t>
        </is>
      </c>
      <c r="O2" s="4" t="inlineStr">
        <is>
          <t>14:00</t>
        </is>
      </c>
      <c r="P2" s="4" t="inlineStr">
        <is>
          <t>土屋</t>
        </is>
      </c>
      <c r="Q2" s="4" t="inlineStr">
        <is>
          <t>排水管の油脂蓄積。屋外升も汚泥多め</t>
        </is>
      </c>
      <c r="R2" s="4" t="inlineStr">
        <is>
          <t>キッチン排水管 高圧洗浄 + 屋外升清掃</t>
        </is>
      </c>
      <c r="S2" s="4" t="n">
        <v>90</v>
      </c>
      <c r="T2" s="5" t="n">
        <v>33000</v>
      </c>
      <c r="U2" s="4" t="inlineStr">
        <is>
          <t>YES</t>
        </is>
      </c>
      <c r="V2" s="4" t="inlineStr"/>
      <c r="W2" s="5" t="n">
        <v>33000</v>
      </c>
      <c r="X2" s="5" t="n">
        <v>2500</v>
      </c>
      <c r="Y2" s="5">
        <f>IF(W2="","",W2-X2)</f>
        <v/>
      </c>
      <c r="Z2" s="4" t="inlineStr">
        <is>
          <t>現金</t>
        </is>
      </c>
      <c r="AA2" s="3" t="inlineStr">
        <is>
          <t>2026-04-15</t>
        </is>
      </c>
      <c r="AB2" s="3">
        <f>IF(AA2="","",AA2+30)</f>
        <v/>
      </c>
      <c r="AC2" s="4" t="inlineStr">
        <is>
          <t>YES</t>
        </is>
      </c>
      <c r="AD2" s="4" t="inlineStr">
        <is>
          <t>NO</t>
        </is>
      </c>
      <c r="AE2" s="4" t="inlineStr">
        <is>
          <t>NO</t>
        </is>
      </c>
      <c r="AF2" s="4" t="inlineStr">
        <is>
          <t>口コミ投稿依頼済（LINEで依頼）</t>
        </is>
      </c>
    </row>
    <row r="3" ht="22" customHeight="1">
      <c r="A3" s="2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3" t="n"/>
      <c r="N3" s="3" t="n"/>
      <c r="O3" s="4" t="n"/>
      <c r="P3" s="4" t="n"/>
      <c r="Q3" s="4" t="n"/>
      <c r="R3" s="4" t="n"/>
      <c r="S3" s="4" t="n"/>
      <c r="T3" s="5" t="n"/>
      <c r="U3" s="4" t="n"/>
      <c r="V3" s="4" t="n"/>
      <c r="W3" s="5" t="n"/>
      <c r="X3" s="5" t="n"/>
      <c r="Y3" s="5">
        <f>IF(W3="","",W3-X3)</f>
        <v/>
      </c>
      <c r="Z3" s="4" t="n"/>
      <c r="AA3" s="3" t="n"/>
      <c r="AB3" s="3">
        <f>IF(AA3="","",AA3+30)</f>
        <v/>
      </c>
      <c r="AC3" s="4" t="n"/>
      <c r="AD3" s="4" t="n"/>
      <c r="AE3" s="4" t="n"/>
      <c r="AF3" s="4" t="n"/>
    </row>
    <row r="4" ht="22" customHeight="1">
      <c r="A4" s="2" t="n"/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3" t="n"/>
      <c r="N4" s="3" t="n"/>
      <c r="O4" s="4" t="n"/>
      <c r="P4" s="4" t="n"/>
      <c r="Q4" s="4" t="n"/>
      <c r="R4" s="4" t="n"/>
      <c r="S4" s="4" t="n"/>
      <c r="T4" s="5" t="n"/>
      <c r="U4" s="4" t="n"/>
      <c r="V4" s="4" t="n"/>
      <c r="W4" s="5" t="n"/>
      <c r="X4" s="5" t="n"/>
      <c r="Y4" s="5">
        <f>IF(W4="","",W4-X4)</f>
        <v/>
      </c>
      <c r="Z4" s="4" t="n"/>
      <c r="AA4" s="3" t="n"/>
      <c r="AB4" s="3">
        <f>IF(AA4="","",AA4+30)</f>
        <v/>
      </c>
      <c r="AC4" s="4" t="n"/>
      <c r="AD4" s="4" t="n"/>
      <c r="AE4" s="4" t="n"/>
      <c r="AF4" s="4" t="n"/>
    </row>
    <row r="5" ht="22" customHeight="1">
      <c r="A5" s="2" t="n"/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3" t="n"/>
      <c r="N5" s="3" t="n"/>
      <c r="O5" s="4" t="n"/>
      <c r="P5" s="4" t="n"/>
      <c r="Q5" s="4" t="n"/>
      <c r="R5" s="4" t="n"/>
      <c r="S5" s="4" t="n"/>
      <c r="T5" s="5" t="n"/>
      <c r="U5" s="4" t="n"/>
      <c r="V5" s="4" t="n"/>
      <c r="W5" s="5" t="n"/>
      <c r="X5" s="5" t="n"/>
      <c r="Y5" s="5">
        <f>IF(W5="","",W5-X5)</f>
        <v/>
      </c>
      <c r="Z5" s="4" t="n"/>
      <c r="AA5" s="3" t="n"/>
      <c r="AB5" s="3">
        <f>IF(AA5="","",AA5+30)</f>
        <v/>
      </c>
      <c r="AC5" s="4" t="n"/>
      <c r="AD5" s="4" t="n"/>
      <c r="AE5" s="4" t="n"/>
      <c r="AF5" s="4" t="n"/>
    </row>
    <row r="6" ht="22" customHeight="1">
      <c r="A6" s="2" t="n"/>
      <c r="B6" s="3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3" t="n"/>
      <c r="N6" s="3" t="n"/>
      <c r="O6" s="4" t="n"/>
      <c r="P6" s="4" t="n"/>
      <c r="Q6" s="4" t="n"/>
      <c r="R6" s="4" t="n"/>
      <c r="S6" s="4" t="n"/>
      <c r="T6" s="5" t="n"/>
      <c r="U6" s="4" t="n"/>
      <c r="V6" s="4" t="n"/>
      <c r="W6" s="5" t="n"/>
      <c r="X6" s="5" t="n"/>
      <c r="Y6" s="5">
        <f>IF(W6="","",W6-X6)</f>
        <v/>
      </c>
      <c r="Z6" s="4" t="n"/>
      <c r="AA6" s="3" t="n"/>
      <c r="AB6" s="3">
        <f>IF(AA6="","",AA6+30)</f>
        <v/>
      </c>
      <c r="AC6" s="4" t="n"/>
      <c r="AD6" s="4" t="n"/>
      <c r="AE6" s="4" t="n"/>
      <c r="AF6" s="4" t="n"/>
    </row>
    <row r="7" ht="22" customHeight="1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3" t="n"/>
      <c r="N7" s="3" t="n"/>
      <c r="O7" s="4" t="n"/>
      <c r="P7" s="4" t="n"/>
      <c r="Q7" s="4" t="n"/>
      <c r="R7" s="4" t="n"/>
      <c r="S7" s="4" t="n"/>
      <c r="T7" s="5" t="n"/>
      <c r="U7" s="4" t="n"/>
      <c r="V7" s="4" t="n"/>
      <c r="W7" s="5" t="n"/>
      <c r="X7" s="5" t="n"/>
      <c r="Y7" s="5">
        <f>IF(W7="","",W7-X7)</f>
        <v/>
      </c>
      <c r="Z7" s="4" t="n"/>
      <c r="AA7" s="3" t="n"/>
      <c r="AB7" s="3">
        <f>IF(AA7="","",AA7+30)</f>
        <v/>
      </c>
      <c r="AC7" s="4" t="n"/>
      <c r="AD7" s="4" t="n"/>
      <c r="AE7" s="4" t="n"/>
      <c r="AF7" s="4" t="n"/>
    </row>
    <row r="8" ht="22" customHeight="1">
      <c r="A8" s="2" t="n"/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3" t="n"/>
      <c r="N8" s="3" t="n"/>
      <c r="O8" s="4" t="n"/>
      <c r="P8" s="4" t="n"/>
      <c r="Q8" s="4" t="n"/>
      <c r="R8" s="4" t="n"/>
      <c r="S8" s="4" t="n"/>
      <c r="T8" s="5" t="n"/>
      <c r="U8" s="4" t="n"/>
      <c r="V8" s="4" t="n"/>
      <c r="W8" s="5" t="n"/>
      <c r="X8" s="5" t="n"/>
      <c r="Y8" s="5">
        <f>IF(W8="","",W8-X8)</f>
        <v/>
      </c>
      <c r="Z8" s="4" t="n"/>
      <c r="AA8" s="3" t="n"/>
      <c r="AB8" s="3">
        <f>IF(AA8="","",AA8+30)</f>
        <v/>
      </c>
      <c r="AC8" s="4" t="n"/>
      <c r="AD8" s="4" t="n"/>
      <c r="AE8" s="4" t="n"/>
      <c r="AF8" s="4" t="n"/>
    </row>
    <row r="9" ht="22" customHeight="1">
      <c r="A9" s="2" t="n"/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3" t="n"/>
      <c r="N9" s="3" t="n"/>
      <c r="O9" s="4" t="n"/>
      <c r="P9" s="4" t="n"/>
      <c r="Q9" s="4" t="n"/>
      <c r="R9" s="4" t="n"/>
      <c r="S9" s="4" t="n"/>
      <c r="T9" s="5" t="n"/>
      <c r="U9" s="4" t="n"/>
      <c r="V9" s="4" t="n"/>
      <c r="W9" s="5" t="n"/>
      <c r="X9" s="5" t="n"/>
      <c r="Y9" s="5">
        <f>IF(W9="","",W9-X9)</f>
        <v/>
      </c>
      <c r="Z9" s="4" t="n"/>
      <c r="AA9" s="3" t="n"/>
      <c r="AB9" s="3">
        <f>IF(AA9="","",AA9+30)</f>
        <v/>
      </c>
      <c r="AC9" s="4" t="n"/>
      <c r="AD9" s="4" t="n"/>
      <c r="AE9" s="4" t="n"/>
      <c r="AF9" s="4" t="n"/>
    </row>
    <row r="10" ht="22" customHeight="1">
      <c r="A10" s="2" t="n"/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3" t="n"/>
      <c r="N10" s="3" t="n"/>
      <c r="O10" s="4" t="n"/>
      <c r="P10" s="4" t="n"/>
      <c r="Q10" s="4" t="n"/>
      <c r="R10" s="4" t="n"/>
      <c r="S10" s="4" t="n"/>
      <c r="T10" s="5" t="n"/>
      <c r="U10" s="4" t="n"/>
      <c r="V10" s="4" t="n"/>
      <c r="W10" s="5" t="n"/>
      <c r="X10" s="5" t="n"/>
      <c r="Y10" s="5">
        <f>IF(W10="","",W10-X10)</f>
        <v/>
      </c>
      <c r="Z10" s="4" t="n"/>
      <c r="AA10" s="3" t="n"/>
      <c r="AB10" s="3">
        <f>IF(AA10="","",AA10+30)</f>
        <v/>
      </c>
      <c r="AC10" s="4" t="n"/>
      <c r="AD10" s="4" t="n"/>
      <c r="AE10" s="4" t="n"/>
      <c r="AF10" s="4" t="n"/>
    </row>
    <row r="11" ht="22" customHeight="1">
      <c r="A11" s="2" t="n"/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3" t="n"/>
      <c r="N11" s="3" t="n"/>
      <c r="O11" s="4" t="n"/>
      <c r="P11" s="4" t="n"/>
      <c r="Q11" s="4" t="n"/>
      <c r="R11" s="4" t="n"/>
      <c r="S11" s="4" t="n"/>
      <c r="T11" s="5" t="n"/>
      <c r="U11" s="4" t="n"/>
      <c r="V11" s="4" t="n"/>
      <c r="W11" s="5" t="n"/>
      <c r="X11" s="5" t="n"/>
      <c r="Y11" s="5">
        <f>IF(W11="","",W11-X11)</f>
        <v/>
      </c>
      <c r="Z11" s="4" t="n"/>
      <c r="AA11" s="3" t="n"/>
      <c r="AB11" s="3">
        <f>IF(AA11="","",AA11+30)</f>
        <v/>
      </c>
      <c r="AC11" s="4" t="n"/>
      <c r="AD11" s="4" t="n"/>
      <c r="AE11" s="4" t="n"/>
      <c r="AF11" s="4" t="n"/>
    </row>
    <row r="12" ht="22" customHeight="1">
      <c r="A12" s="2" t="n"/>
      <c r="B12" s="3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3" t="n"/>
      <c r="N12" s="3" t="n"/>
      <c r="O12" s="4" t="n"/>
      <c r="P12" s="4" t="n"/>
      <c r="Q12" s="4" t="n"/>
      <c r="R12" s="4" t="n"/>
      <c r="S12" s="4" t="n"/>
      <c r="T12" s="5" t="n"/>
      <c r="U12" s="4" t="n"/>
      <c r="V12" s="4" t="n"/>
      <c r="W12" s="5" t="n"/>
      <c r="X12" s="5" t="n"/>
      <c r="Y12" s="5">
        <f>IF(W12="","",W12-X12)</f>
        <v/>
      </c>
      <c r="Z12" s="4" t="n"/>
      <c r="AA12" s="3" t="n"/>
      <c r="AB12" s="3">
        <f>IF(AA12="","",AA12+30)</f>
        <v/>
      </c>
      <c r="AC12" s="4" t="n"/>
      <c r="AD12" s="4" t="n"/>
      <c r="AE12" s="4" t="n"/>
      <c r="AF12" s="4" t="n"/>
    </row>
    <row r="13" ht="22" customHeight="1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3" t="n"/>
      <c r="N13" s="3" t="n"/>
      <c r="O13" s="4" t="n"/>
      <c r="P13" s="4" t="n"/>
      <c r="Q13" s="4" t="n"/>
      <c r="R13" s="4" t="n"/>
      <c r="S13" s="4" t="n"/>
      <c r="T13" s="5" t="n"/>
      <c r="U13" s="4" t="n"/>
      <c r="V13" s="4" t="n"/>
      <c r="W13" s="5" t="n"/>
      <c r="X13" s="5" t="n"/>
      <c r="Y13" s="5">
        <f>IF(W13="","",W13-X13)</f>
        <v/>
      </c>
      <c r="Z13" s="4" t="n"/>
      <c r="AA13" s="3" t="n"/>
      <c r="AB13" s="3">
        <f>IF(AA13="","",AA13+30)</f>
        <v/>
      </c>
      <c r="AC13" s="4" t="n"/>
      <c r="AD13" s="4" t="n"/>
      <c r="AE13" s="4" t="n"/>
      <c r="AF13" s="4" t="n"/>
    </row>
    <row r="14" ht="22" customHeight="1">
      <c r="A14" s="2" t="n"/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3" t="n"/>
      <c r="N14" s="3" t="n"/>
      <c r="O14" s="4" t="n"/>
      <c r="P14" s="4" t="n"/>
      <c r="Q14" s="4" t="n"/>
      <c r="R14" s="4" t="n"/>
      <c r="S14" s="4" t="n"/>
      <c r="T14" s="5" t="n"/>
      <c r="U14" s="4" t="n"/>
      <c r="V14" s="4" t="n"/>
      <c r="W14" s="5" t="n"/>
      <c r="X14" s="5" t="n"/>
      <c r="Y14" s="5">
        <f>IF(W14="","",W14-X14)</f>
        <v/>
      </c>
      <c r="Z14" s="4" t="n"/>
      <c r="AA14" s="3" t="n"/>
      <c r="AB14" s="3">
        <f>IF(AA14="","",AA14+30)</f>
        <v/>
      </c>
      <c r="AC14" s="4" t="n"/>
      <c r="AD14" s="4" t="n"/>
      <c r="AE14" s="4" t="n"/>
      <c r="AF14" s="4" t="n"/>
    </row>
    <row r="15" ht="22" customHeight="1">
      <c r="A15" s="2" t="n"/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3" t="n"/>
      <c r="N15" s="3" t="n"/>
      <c r="O15" s="4" t="n"/>
      <c r="P15" s="4" t="n"/>
      <c r="Q15" s="4" t="n"/>
      <c r="R15" s="4" t="n"/>
      <c r="S15" s="4" t="n"/>
      <c r="T15" s="5" t="n"/>
      <c r="U15" s="4" t="n"/>
      <c r="V15" s="4" t="n"/>
      <c r="W15" s="5" t="n"/>
      <c r="X15" s="5" t="n"/>
      <c r="Y15" s="5">
        <f>IF(W15="","",W15-X15)</f>
        <v/>
      </c>
      <c r="Z15" s="4" t="n"/>
      <c r="AA15" s="3" t="n"/>
      <c r="AB15" s="3">
        <f>IF(AA15="","",AA15+30)</f>
        <v/>
      </c>
      <c r="AC15" s="4" t="n"/>
      <c r="AD15" s="4" t="n"/>
      <c r="AE15" s="4" t="n"/>
      <c r="AF15" s="4" t="n"/>
    </row>
    <row r="16" ht="22" customHeight="1">
      <c r="A16" s="2" t="n"/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3" t="n"/>
      <c r="N16" s="3" t="n"/>
      <c r="O16" s="4" t="n"/>
      <c r="P16" s="4" t="n"/>
      <c r="Q16" s="4" t="n"/>
      <c r="R16" s="4" t="n"/>
      <c r="S16" s="4" t="n"/>
      <c r="T16" s="5" t="n"/>
      <c r="U16" s="4" t="n"/>
      <c r="V16" s="4" t="n"/>
      <c r="W16" s="5" t="n"/>
      <c r="X16" s="5" t="n"/>
      <c r="Y16" s="5">
        <f>IF(W16="","",W16-X16)</f>
        <v/>
      </c>
      <c r="Z16" s="4" t="n"/>
      <c r="AA16" s="3" t="n"/>
      <c r="AB16" s="3">
        <f>IF(AA16="","",AA16+30)</f>
        <v/>
      </c>
      <c r="AC16" s="4" t="n"/>
      <c r="AD16" s="4" t="n"/>
      <c r="AE16" s="4" t="n"/>
      <c r="AF16" s="4" t="n"/>
    </row>
    <row r="17" ht="22" customHeight="1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3" t="n"/>
      <c r="N17" s="3" t="n"/>
      <c r="O17" s="4" t="n"/>
      <c r="P17" s="4" t="n"/>
      <c r="Q17" s="4" t="n"/>
      <c r="R17" s="4" t="n"/>
      <c r="S17" s="4" t="n"/>
      <c r="T17" s="5" t="n"/>
      <c r="U17" s="4" t="n"/>
      <c r="V17" s="4" t="n"/>
      <c r="W17" s="5" t="n"/>
      <c r="X17" s="5" t="n"/>
      <c r="Y17" s="5">
        <f>IF(W17="","",W17-X17)</f>
        <v/>
      </c>
      <c r="Z17" s="4" t="n"/>
      <c r="AA17" s="3" t="n"/>
      <c r="AB17" s="3">
        <f>IF(AA17="","",AA17+30)</f>
        <v/>
      </c>
      <c r="AC17" s="4" t="n"/>
      <c r="AD17" s="4" t="n"/>
      <c r="AE17" s="4" t="n"/>
      <c r="AF17" s="4" t="n"/>
    </row>
    <row r="18" ht="22" customHeight="1">
      <c r="A18" s="2" t="n"/>
      <c r="B18" s="3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3" t="n"/>
      <c r="N18" s="3" t="n"/>
      <c r="O18" s="4" t="n"/>
      <c r="P18" s="4" t="n"/>
      <c r="Q18" s="4" t="n"/>
      <c r="R18" s="4" t="n"/>
      <c r="S18" s="4" t="n"/>
      <c r="T18" s="5" t="n"/>
      <c r="U18" s="4" t="n"/>
      <c r="V18" s="4" t="n"/>
      <c r="W18" s="5" t="n"/>
      <c r="X18" s="5" t="n"/>
      <c r="Y18" s="5">
        <f>IF(W18="","",W18-X18)</f>
        <v/>
      </c>
      <c r="Z18" s="4" t="n"/>
      <c r="AA18" s="3" t="n"/>
      <c r="AB18" s="3">
        <f>IF(AA18="","",AA18+30)</f>
        <v/>
      </c>
      <c r="AC18" s="4" t="n"/>
      <c r="AD18" s="4" t="n"/>
      <c r="AE18" s="4" t="n"/>
      <c r="AF18" s="4" t="n"/>
    </row>
    <row r="19" ht="22" customHeight="1">
      <c r="A19" s="2" t="n"/>
      <c r="B19" s="3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3" t="n"/>
      <c r="N19" s="3" t="n"/>
      <c r="O19" s="4" t="n"/>
      <c r="P19" s="4" t="n"/>
      <c r="Q19" s="4" t="n"/>
      <c r="R19" s="4" t="n"/>
      <c r="S19" s="4" t="n"/>
      <c r="T19" s="5" t="n"/>
      <c r="U19" s="4" t="n"/>
      <c r="V19" s="4" t="n"/>
      <c r="W19" s="5" t="n"/>
      <c r="X19" s="5" t="n"/>
      <c r="Y19" s="5">
        <f>IF(W19="","",W19-X19)</f>
        <v/>
      </c>
      <c r="Z19" s="4" t="n"/>
      <c r="AA19" s="3" t="n"/>
      <c r="AB19" s="3">
        <f>IF(AA19="","",AA19+30)</f>
        <v/>
      </c>
      <c r="AC19" s="4" t="n"/>
      <c r="AD19" s="4" t="n"/>
      <c r="AE19" s="4" t="n"/>
      <c r="AF19" s="4" t="n"/>
    </row>
    <row r="20" ht="22" customHeight="1">
      <c r="A20" s="2" t="n"/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3" t="n"/>
      <c r="N20" s="3" t="n"/>
      <c r="O20" s="4" t="n"/>
      <c r="P20" s="4" t="n"/>
      <c r="Q20" s="4" t="n"/>
      <c r="R20" s="4" t="n"/>
      <c r="S20" s="4" t="n"/>
      <c r="T20" s="5" t="n"/>
      <c r="U20" s="4" t="n"/>
      <c r="V20" s="4" t="n"/>
      <c r="W20" s="5" t="n"/>
      <c r="X20" s="5" t="n"/>
      <c r="Y20" s="5">
        <f>IF(W20="","",W20-X20)</f>
        <v/>
      </c>
      <c r="Z20" s="4" t="n"/>
      <c r="AA20" s="3" t="n"/>
      <c r="AB20" s="3">
        <f>IF(AA20="","",AA20+30)</f>
        <v/>
      </c>
      <c r="AC20" s="4" t="n"/>
      <c r="AD20" s="4" t="n"/>
      <c r="AE20" s="4" t="n"/>
      <c r="AF20" s="4" t="n"/>
    </row>
    <row r="21" ht="22" customHeight="1">
      <c r="A21" s="2" t="n"/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3" t="n"/>
      <c r="N21" s="3" t="n"/>
      <c r="O21" s="4" t="n"/>
      <c r="P21" s="4" t="n"/>
      <c r="Q21" s="4" t="n"/>
      <c r="R21" s="4" t="n"/>
      <c r="S21" s="4" t="n"/>
      <c r="T21" s="5" t="n"/>
      <c r="U21" s="4" t="n"/>
      <c r="V21" s="4" t="n"/>
      <c r="W21" s="5" t="n"/>
      <c r="X21" s="5" t="n"/>
      <c r="Y21" s="5">
        <f>IF(W21="","",W21-X21)</f>
        <v/>
      </c>
      <c r="Z21" s="4" t="n"/>
      <c r="AA21" s="3" t="n"/>
      <c r="AB21" s="3">
        <f>IF(AA21="","",AA21+30)</f>
        <v/>
      </c>
      <c r="AC21" s="4" t="n"/>
      <c r="AD21" s="4" t="n"/>
      <c r="AE21" s="4" t="n"/>
      <c r="AF21" s="4" t="n"/>
    </row>
    <row r="22" ht="22" customHeight="1">
      <c r="A22" s="2" t="n"/>
      <c r="B22" s="3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3" t="n"/>
      <c r="N22" s="3" t="n"/>
      <c r="O22" s="4" t="n"/>
      <c r="P22" s="4" t="n"/>
      <c r="Q22" s="4" t="n"/>
      <c r="R22" s="4" t="n"/>
      <c r="S22" s="4" t="n"/>
      <c r="T22" s="5" t="n"/>
      <c r="U22" s="4" t="n"/>
      <c r="V22" s="4" t="n"/>
      <c r="W22" s="5" t="n"/>
      <c r="X22" s="5" t="n"/>
      <c r="Y22" s="5">
        <f>IF(W22="","",W22-X22)</f>
        <v/>
      </c>
      <c r="Z22" s="4" t="n"/>
      <c r="AA22" s="3" t="n"/>
      <c r="AB22" s="3">
        <f>IF(AA22="","",AA22+30)</f>
        <v/>
      </c>
      <c r="AC22" s="4" t="n"/>
      <c r="AD22" s="4" t="n"/>
      <c r="AE22" s="4" t="n"/>
      <c r="AF22" s="4" t="n"/>
    </row>
    <row r="23" ht="22" customHeight="1">
      <c r="A23" s="2" t="n"/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3" t="n"/>
      <c r="N23" s="3" t="n"/>
      <c r="O23" s="4" t="n"/>
      <c r="P23" s="4" t="n"/>
      <c r="Q23" s="4" t="n"/>
      <c r="R23" s="4" t="n"/>
      <c r="S23" s="4" t="n"/>
      <c r="T23" s="5" t="n"/>
      <c r="U23" s="4" t="n"/>
      <c r="V23" s="4" t="n"/>
      <c r="W23" s="5" t="n"/>
      <c r="X23" s="5" t="n"/>
      <c r="Y23" s="5">
        <f>IF(W23="","",W23-X23)</f>
        <v/>
      </c>
      <c r="Z23" s="4" t="n"/>
      <c r="AA23" s="3" t="n"/>
      <c r="AB23" s="3">
        <f>IF(AA23="","",AA23+30)</f>
        <v/>
      </c>
      <c r="AC23" s="4" t="n"/>
      <c r="AD23" s="4" t="n"/>
      <c r="AE23" s="4" t="n"/>
      <c r="AF23" s="4" t="n"/>
    </row>
    <row r="24" ht="22" customHeight="1">
      <c r="A24" s="2" t="n"/>
      <c r="B24" s="3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3" t="n"/>
      <c r="N24" s="3" t="n"/>
      <c r="O24" s="4" t="n"/>
      <c r="P24" s="4" t="n"/>
      <c r="Q24" s="4" t="n"/>
      <c r="R24" s="4" t="n"/>
      <c r="S24" s="4" t="n"/>
      <c r="T24" s="5" t="n"/>
      <c r="U24" s="4" t="n"/>
      <c r="V24" s="4" t="n"/>
      <c r="W24" s="5" t="n"/>
      <c r="X24" s="5" t="n"/>
      <c r="Y24" s="5">
        <f>IF(W24="","",W24-X24)</f>
        <v/>
      </c>
      <c r="Z24" s="4" t="n"/>
      <c r="AA24" s="3" t="n"/>
      <c r="AB24" s="3">
        <f>IF(AA24="","",AA24+30)</f>
        <v/>
      </c>
      <c r="AC24" s="4" t="n"/>
      <c r="AD24" s="4" t="n"/>
      <c r="AE24" s="4" t="n"/>
      <c r="AF24" s="4" t="n"/>
    </row>
    <row r="25" ht="22" customHeight="1">
      <c r="A25" s="2" t="n"/>
      <c r="B25" s="3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3" t="n"/>
      <c r="N25" s="3" t="n"/>
      <c r="O25" s="4" t="n"/>
      <c r="P25" s="4" t="n"/>
      <c r="Q25" s="4" t="n"/>
      <c r="R25" s="4" t="n"/>
      <c r="S25" s="4" t="n"/>
      <c r="T25" s="5" t="n"/>
      <c r="U25" s="4" t="n"/>
      <c r="V25" s="4" t="n"/>
      <c r="W25" s="5" t="n"/>
      <c r="X25" s="5" t="n"/>
      <c r="Y25" s="5">
        <f>IF(W25="","",W25-X25)</f>
        <v/>
      </c>
      <c r="Z25" s="4" t="n"/>
      <c r="AA25" s="3" t="n"/>
      <c r="AB25" s="3">
        <f>IF(AA25="","",AA25+30)</f>
        <v/>
      </c>
      <c r="AC25" s="4" t="n"/>
      <c r="AD25" s="4" t="n"/>
      <c r="AE25" s="4" t="n"/>
      <c r="AF25" s="4" t="n"/>
    </row>
    <row r="26" ht="22" customHeight="1">
      <c r="A26" s="2" t="n"/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3" t="n"/>
      <c r="N26" s="3" t="n"/>
      <c r="O26" s="4" t="n"/>
      <c r="P26" s="4" t="n"/>
      <c r="Q26" s="4" t="n"/>
      <c r="R26" s="4" t="n"/>
      <c r="S26" s="4" t="n"/>
      <c r="T26" s="5" t="n"/>
      <c r="U26" s="4" t="n"/>
      <c r="V26" s="4" t="n"/>
      <c r="W26" s="5" t="n"/>
      <c r="X26" s="5" t="n"/>
      <c r="Y26" s="5">
        <f>IF(W26="","",W26-X26)</f>
        <v/>
      </c>
      <c r="Z26" s="4" t="n"/>
      <c r="AA26" s="3" t="n"/>
      <c r="AB26" s="3">
        <f>IF(AA26="","",AA26+30)</f>
        <v/>
      </c>
      <c r="AC26" s="4" t="n"/>
      <c r="AD26" s="4" t="n"/>
      <c r="AE26" s="4" t="n"/>
      <c r="AF26" s="4" t="n"/>
    </row>
    <row r="27" ht="22" customHeight="1">
      <c r="A27" s="2" t="n"/>
      <c r="B27" s="3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3" t="n"/>
      <c r="N27" s="3" t="n"/>
      <c r="O27" s="4" t="n"/>
      <c r="P27" s="4" t="n"/>
      <c r="Q27" s="4" t="n"/>
      <c r="R27" s="4" t="n"/>
      <c r="S27" s="4" t="n"/>
      <c r="T27" s="5" t="n"/>
      <c r="U27" s="4" t="n"/>
      <c r="V27" s="4" t="n"/>
      <c r="W27" s="5" t="n"/>
      <c r="X27" s="5" t="n"/>
      <c r="Y27" s="5">
        <f>IF(W27="","",W27-X27)</f>
        <v/>
      </c>
      <c r="Z27" s="4" t="n"/>
      <c r="AA27" s="3" t="n"/>
      <c r="AB27" s="3">
        <f>IF(AA27="","",AA27+30)</f>
        <v/>
      </c>
      <c r="AC27" s="4" t="n"/>
      <c r="AD27" s="4" t="n"/>
      <c r="AE27" s="4" t="n"/>
      <c r="AF27" s="4" t="n"/>
    </row>
    <row r="28" ht="22" customHeight="1">
      <c r="A28" s="2" t="n"/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3" t="n"/>
      <c r="N28" s="3" t="n"/>
      <c r="O28" s="4" t="n"/>
      <c r="P28" s="4" t="n"/>
      <c r="Q28" s="4" t="n"/>
      <c r="R28" s="4" t="n"/>
      <c r="S28" s="4" t="n"/>
      <c r="T28" s="5" t="n"/>
      <c r="U28" s="4" t="n"/>
      <c r="V28" s="4" t="n"/>
      <c r="W28" s="5" t="n"/>
      <c r="X28" s="5" t="n"/>
      <c r="Y28" s="5">
        <f>IF(W28="","",W28-X28)</f>
        <v/>
      </c>
      <c r="Z28" s="4" t="n"/>
      <c r="AA28" s="3" t="n"/>
      <c r="AB28" s="3">
        <f>IF(AA28="","",AA28+30)</f>
        <v/>
      </c>
      <c r="AC28" s="4" t="n"/>
      <c r="AD28" s="4" t="n"/>
      <c r="AE28" s="4" t="n"/>
      <c r="AF28" s="4" t="n"/>
    </row>
    <row r="29" ht="22" customHeight="1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3" t="n"/>
      <c r="N29" s="3" t="n"/>
      <c r="O29" s="4" t="n"/>
      <c r="P29" s="4" t="n"/>
      <c r="Q29" s="4" t="n"/>
      <c r="R29" s="4" t="n"/>
      <c r="S29" s="4" t="n"/>
      <c r="T29" s="5" t="n"/>
      <c r="U29" s="4" t="n"/>
      <c r="V29" s="4" t="n"/>
      <c r="W29" s="5" t="n"/>
      <c r="X29" s="5" t="n"/>
      <c r="Y29" s="5">
        <f>IF(W29="","",W29-X29)</f>
        <v/>
      </c>
      <c r="Z29" s="4" t="n"/>
      <c r="AA29" s="3" t="n"/>
      <c r="AB29" s="3">
        <f>IF(AA29="","",AA29+30)</f>
        <v/>
      </c>
      <c r="AC29" s="4" t="n"/>
      <c r="AD29" s="4" t="n"/>
      <c r="AE29" s="4" t="n"/>
      <c r="AF29" s="4" t="n"/>
    </row>
    <row r="30" ht="22" customHeight="1">
      <c r="A30" s="2" t="n"/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3" t="n"/>
      <c r="N30" s="3" t="n"/>
      <c r="O30" s="4" t="n"/>
      <c r="P30" s="4" t="n"/>
      <c r="Q30" s="4" t="n"/>
      <c r="R30" s="4" t="n"/>
      <c r="S30" s="4" t="n"/>
      <c r="T30" s="5" t="n"/>
      <c r="U30" s="4" t="n"/>
      <c r="V30" s="4" t="n"/>
      <c r="W30" s="5" t="n"/>
      <c r="X30" s="5" t="n"/>
      <c r="Y30" s="5">
        <f>IF(W30="","",W30-X30)</f>
        <v/>
      </c>
      <c r="Z30" s="4" t="n"/>
      <c r="AA30" s="3" t="n"/>
      <c r="AB30" s="3">
        <f>IF(AA30="","",AA30+30)</f>
        <v/>
      </c>
      <c r="AC30" s="4" t="n"/>
      <c r="AD30" s="4" t="n"/>
      <c r="AE30" s="4" t="n"/>
      <c r="AF30" s="4" t="n"/>
    </row>
    <row r="31" ht="22" customHeight="1">
      <c r="A31" s="2" t="n"/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3" t="n"/>
      <c r="N31" s="3" t="n"/>
      <c r="O31" s="4" t="n"/>
      <c r="P31" s="4" t="n"/>
      <c r="Q31" s="4" t="n"/>
      <c r="R31" s="4" t="n"/>
      <c r="S31" s="4" t="n"/>
      <c r="T31" s="5" t="n"/>
      <c r="U31" s="4" t="n"/>
      <c r="V31" s="4" t="n"/>
      <c r="W31" s="5" t="n"/>
      <c r="X31" s="5" t="n"/>
      <c r="Y31" s="5">
        <f>IF(W31="","",W31-X31)</f>
        <v/>
      </c>
      <c r="Z31" s="4" t="n"/>
      <c r="AA31" s="3" t="n"/>
      <c r="AB31" s="3">
        <f>IF(AA31="","",AA31+30)</f>
        <v/>
      </c>
      <c r="AC31" s="4" t="n"/>
      <c r="AD31" s="4" t="n"/>
      <c r="AE31" s="4" t="n"/>
      <c r="AF31" s="4" t="n"/>
    </row>
    <row r="32" ht="22" customHeight="1">
      <c r="A32" s="2" t="n"/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3" t="n"/>
      <c r="N32" s="3" t="n"/>
      <c r="O32" s="4" t="n"/>
      <c r="P32" s="4" t="n"/>
      <c r="Q32" s="4" t="n"/>
      <c r="R32" s="4" t="n"/>
      <c r="S32" s="4" t="n"/>
      <c r="T32" s="5" t="n"/>
      <c r="U32" s="4" t="n"/>
      <c r="V32" s="4" t="n"/>
      <c r="W32" s="5" t="n"/>
      <c r="X32" s="5" t="n"/>
      <c r="Y32" s="5">
        <f>IF(W32="","",W32-X32)</f>
        <v/>
      </c>
      <c r="Z32" s="4" t="n"/>
      <c r="AA32" s="3" t="n"/>
      <c r="AB32" s="3">
        <f>IF(AA32="","",AA32+30)</f>
        <v/>
      </c>
      <c r="AC32" s="4" t="n"/>
      <c r="AD32" s="4" t="n"/>
      <c r="AE32" s="4" t="n"/>
      <c r="AF32" s="4" t="n"/>
    </row>
    <row r="33" ht="22" customHeight="1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3" t="n"/>
      <c r="N33" s="3" t="n"/>
      <c r="O33" s="4" t="n"/>
      <c r="P33" s="4" t="n"/>
      <c r="Q33" s="4" t="n"/>
      <c r="R33" s="4" t="n"/>
      <c r="S33" s="4" t="n"/>
      <c r="T33" s="5" t="n"/>
      <c r="U33" s="4" t="n"/>
      <c r="V33" s="4" t="n"/>
      <c r="W33" s="5" t="n"/>
      <c r="X33" s="5" t="n"/>
      <c r="Y33" s="5">
        <f>IF(W33="","",W33-X33)</f>
        <v/>
      </c>
      <c r="Z33" s="4" t="n"/>
      <c r="AA33" s="3" t="n"/>
      <c r="AB33" s="3">
        <f>IF(AA33="","",AA33+30)</f>
        <v/>
      </c>
      <c r="AC33" s="4" t="n"/>
      <c r="AD33" s="4" t="n"/>
      <c r="AE33" s="4" t="n"/>
      <c r="AF33" s="4" t="n"/>
    </row>
    <row r="34" ht="22" customHeight="1">
      <c r="A34" s="2" t="n"/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3" t="n"/>
      <c r="N34" s="3" t="n"/>
      <c r="O34" s="4" t="n"/>
      <c r="P34" s="4" t="n"/>
      <c r="Q34" s="4" t="n"/>
      <c r="R34" s="4" t="n"/>
      <c r="S34" s="4" t="n"/>
      <c r="T34" s="5" t="n"/>
      <c r="U34" s="4" t="n"/>
      <c r="V34" s="4" t="n"/>
      <c r="W34" s="5" t="n"/>
      <c r="X34" s="5" t="n"/>
      <c r="Y34" s="5">
        <f>IF(W34="","",W34-X34)</f>
        <v/>
      </c>
      <c r="Z34" s="4" t="n"/>
      <c r="AA34" s="3" t="n"/>
      <c r="AB34" s="3">
        <f>IF(AA34="","",AA34+30)</f>
        <v/>
      </c>
      <c r="AC34" s="4" t="n"/>
      <c r="AD34" s="4" t="n"/>
      <c r="AE34" s="4" t="n"/>
      <c r="AF34" s="4" t="n"/>
    </row>
    <row r="35" ht="22" customHeight="1">
      <c r="A35" s="2" t="n"/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3" t="n"/>
      <c r="N35" s="3" t="n"/>
      <c r="O35" s="4" t="n"/>
      <c r="P35" s="4" t="n"/>
      <c r="Q35" s="4" t="n"/>
      <c r="R35" s="4" t="n"/>
      <c r="S35" s="4" t="n"/>
      <c r="T35" s="5" t="n"/>
      <c r="U35" s="4" t="n"/>
      <c r="V35" s="4" t="n"/>
      <c r="W35" s="5" t="n"/>
      <c r="X35" s="5" t="n"/>
      <c r="Y35" s="5">
        <f>IF(W35="","",W35-X35)</f>
        <v/>
      </c>
      <c r="Z35" s="4" t="n"/>
      <c r="AA35" s="3" t="n"/>
      <c r="AB35" s="3">
        <f>IF(AA35="","",AA35+30)</f>
        <v/>
      </c>
      <c r="AC35" s="4" t="n"/>
      <c r="AD35" s="4" t="n"/>
      <c r="AE35" s="4" t="n"/>
      <c r="AF35" s="4" t="n"/>
    </row>
    <row r="36" ht="22" customHeight="1">
      <c r="A36" s="2" t="n"/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3" t="n"/>
      <c r="N36" s="3" t="n"/>
      <c r="O36" s="4" t="n"/>
      <c r="P36" s="4" t="n"/>
      <c r="Q36" s="4" t="n"/>
      <c r="R36" s="4" t="n"/>
      <c r="S36" s="4" t="n"/>
      <c r="T36" s="5" t="n"/>
      <c r="U36" s="4" t="n"/>
      <c r="V36" s="4" t="n"/>
      <c r="W36" s="5" t="n"/>
      <c r="X36" s="5" t="n"/>
      <c r="Y36" s="5">
        <f>IF(W36="","",W36-X36)</f>
        <v/>
      </c>
      <c r="Z36" s="4" t="n"/>
      <c r="AA36" s="3" t="n"/>
      <c r="AB36" s="3">
        <f>IF(AA36="","",AA36+30)</f>
        <v/>
      </c>
      <c r="AC36" s="4" t="n"/>
      <c r="AD36" s="4" t="n"/>
      <c r="AE36" s="4" t="n"/>
      <c r="AF36" s="4" t="n"/>
    </row>
    <row r="37" ht="22" customHeight="1">
      <c r="A37" s="2" t="n"/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3" t="n"/>
      <c r="N37" s="3" t="n"/>
      <c r="O37" s="4" t="n"/>
      <c r="P37" s="4" t="n"/>
      <c r="Q37" s="4" t="n"/>
      <c r="R37" s="4" t="n"/>
      <c r="S37" s="4" t="n"/>
      <c r="T37" s="5" t="n"/>
      <c r="U37" s="4" t="n"/>
      <c r="V37" s="4" t="n"/>
      <c r="W37" s="5" t="n"/>
      <c r="X37" s="5" t="n"/>
      <c r="Y37" s="5">
        <f>IF(W37="","",W37-X37)</f>
        <v/>
      </c>
      <c r="Z37" s="4" t="n"/>
      <c r="AA37" s="3" t="n"/>
      <c r="AB37" s="3">
        <f>IF(AA37="","",AA37+30)</f>
        <v/>
      </c>
      <c r="AC37" s="4" t="n"/>
      <c r="AD37" s="4" t="n"/>
      <c r="AE37" s="4" t="n"/>
      <c r="AF37" s="4" t="n"/>
    </row>
    <row r="38" ht="22" customHeight="1">
      <c r="A38" s="2" t="n"/>
      <c r="B38" s="3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3" t="n"/>
      <c r="N38" s="3" t="n"/>
      <c r="O38" s="4" t="n"/>
      <c r="P38" s="4" t="n"/>
      <c r="Q38" s="4" t="n"/>
      <c r="R38" s="4" t="n"/>
      <c r="S38" s="4" t="n"/>
      <c r="T38" s="5" t="n"/>
      <c r="U38" s="4" t="n"/>
      <c r="V38" s="4" t="n"/>
      <c r="W38" s="5" t="n"/>
      <c r="X38" s="5" t="n"/>
      <c r="Y38" s="5">
        <f>IF(W38="","",W38-X38)</f>
        <v/>
      </c>
      <c r="Z38" s="4" t="n"/>
      <c r="AA38" s="3" t="n"/>
      <c r="AB38" s="3">
        <f>IF(AA38="","",AA38+30)</f>
        <v/>
      </c>
      <c r="AC38" s="4" t="n"/>
      <c r="AD38" s="4" t="n"/>
      <c r="AE38" s="4" t="n"/>
      <c r="AF38" s="4" t="n"/>
    </row>
    <row r="39" ht="22" customHeight="1">
      <c r="A39" s="2" t="n"/>
      <c r="B39" s="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3" t="n"/>
      <c r="N39" s="3" t="n"/>
      <c r="O39" s="4" t="n"/>
      <c r="P39" s="4" t="n"/>
      <c r="Q39" s="4" t="n"/>
      <c r="R39" s="4" t="n"/>
      <c r="S39" s="4" t="n"/>
      <c r="T39" s="5" t="n"/>
      <c r="U39" s="4" t="n"/>
      <c r="V39" s="4" t="n"/>
      <c r="W39" s="5" t="n"/>
      <c r="X39" s="5" t="n"/>
      <c r="Y39" s="5">
        <f>IF(W39="","",W39-X39)</f>
        <v/>
      </c>
      <c r="Z39" s="4" t="n"/>
      <c r="AA39" s="3" t="n"/>
      <c r="AB39" s="3">
        <f>IF(AA39="","",AA39+30)</f>
        <v/>
      </c>
      <c r="AC39" s="4" t="n"/>
      <c r="AD39" s="4" t="n"/>
      <c r="AE39" s="4" t="n"/>
      <c r="AF39" s="4" t="n"/>
    </row>
    <row r="40" ht="22" customHeight="1">
      <c r="A40" s="2" t="n"/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3" t="n"/>
      <c r="N40" s="3" t="n"/>
      <c r="O40" s="4" t="n"/>
      <c r="P40" s="4" t="n"/>
      <c r="Q40" s="4" t="n"/>
      <c r="R40" s="4" t="n"/>
      <c r="S40" s="4" t="n"/>
      <c r="T40" s="5" t="n"/>
      <c r="U40" s="4" t="n"/>
      <c r="V40" s="4" t="n"/>
      <c r="W40" s="5" t="n"/>
      <c r="X40" s="5" t="n"/>
      <c r="Y40" s="5">
        <f>IF(W40="","",W40-X40)</f>
        <v/>
      </c>
      <c r="Z40" s="4" t="n"/>
      <c r="AA40" s="3" t="n"/>
      <c r="AB40" s="3">
        <f>IF(AA40="","",AA40+30)</f>
        <v/>
      </c>
      <c r="AC40" s="4" t="n"/>
      <c r="AD40" s="4" t="n"/>
      <c r="AE40" s="4" t="n"/>
      <c r="AF40" s="4" t="n"/>
    </row>
    <row r="41" ht="22" customHeight="1">
      <c r="A41" s="2" t="n"/>
      <c r="B41" s="3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3" t="n"/>
      <c r="N41" s="3" t="n"/>
      <c r="O41" s="4" t="n"/>
      <c r="P41" s="4" t="n"/>
      <c r="Q41" s="4" t="n"/>
      <c r="R41" s="4" t="n"/>
      <c r="S41" s="4" t="n"/>
      <c r="T41" s="5" t="n"/>
      <c r="U41" s="4" t="n"/>
      <c r="V41" s="4" t="n"/>
      <c r="W41" s="5" t="n"/>
      <c r="X41" s="5" t="n"/>
      <c r="Y41" s="5">
        <f>IF(W41="","",W41-X41)</f>
        <v/>
      </c>
      <c r="Z41" s="4" t="n"/>
      <c r="AA41" s="3" t="n"/>
      <c r="AB41" s="3">
        <f>IF(AA41="","",AA41+30)</f>
        <v/>
      </c>
      <c r="AC41" s="4" t="n"/>
      <c r="AD41" s="4" t="n"/>
      <c r="AE41" s="4" t="n"/>
      <c r="AF41" s="4" t="n"/>
    </row>
    <row r="42" ht="22" customHeight="1">
      <c r="A42" s="2" t="n"/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3" t="n"/>
      <c r="N42" s="3" t="n"/>
      <c r="O42" s="4" t="n"/>
      <c r="P42" s="4" t="n"/>
      <c r="Q42" s="4" t="n"/>
      <c r="R42" s="4" t="n"/>
      <c r="S42" s="4" t="n"/>
      <c r="T42" s="5" t="n"/>
      <c r="U42" s="4" t="n"/>
      <c r="V42" s="4" t="n"/>
      <c r="W42" s="5" t="n"/>
      <c r="X42" s="5" t="n"/>
      <c r="Y42" s="5">
        <f>IF(W42="","",W42-X42)</f>
        <v/>
      </c>
      <c r="Z42" s="4" t="n"/>
      <c r="AA42" s="3" t="n"/>
      <c r="AB42" s="3">
        <f>IF(AA42="","",AA42+30)</f>
        <v/>
      </c>
      <c r="AC42" s="4" t="n"/>
      <c r="AD42" s="4" t="n"/>
      <c r="AE42" s="4" t="n"/>
      <c r="AF42" s="4" t="n"/>
    </row>
    <row r="43" ht="22" customHeight="1">
      <c r="A43" s="2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3" t="n"/>
      <c r="N43" s="3" t="n"/>
      <c r="O43" s="4" t="n"/>
      <c r="P43" s="4" t="n"/>
      <c r="Q43" s="4" t="n"/>
      <c r="R43" s="4" t="n"/>
      <c r="S43" s="4" t="n"/>
      <c r="T43" s="5" t="n"/>
      <c r="U43" s="4" t="n"/>
      <c r="V43" s="4" t="n"/>
      <c r="W43" s="5" t="n"/>
      <c r="X43" s="5" t="n"/>
      <c r="Y43" s="5">
        <f>IF(W43="","",W43-X43)</f>
        <v/>
      </c>
      <c r="Z43" s="4" t="n"/>
      <c r="AA43" s="3" t="n"/>
      <c r="AB43" s="3">
        <f>IF(AA43="","",AA43+30)</f>
        <v/>
      </c>
      <c r="AC43" s="4" t="n"/>
      <c r="AD43" s="4" t="n"/>
      <c r="AE43" s="4" t="n"/>
      <c r="AF43" s="4" t="n"/>
    </row>
    <row r="44" ht="22" customHeight="1">
      <c r="A44" s="2" t="n"/>
      <c r="B44" s="3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3" t="n"/>
      <c r="N44" s="3" t="n"/>
      <c r="O44" s="4" t="n"/>
      <c r="P44" s="4" t="n"/>
      <c r="Q44" s="4" t="n"/>
      <c r="R44" s="4" t="n"/>
      <c r="S44" s="4" t="n"/>
      <c r="T44" s="5" t="n"/>
      <c r="U44" s="4" t="n"/>
      <c r="V44" s="4" t="n"/>
      <c r="W44" s="5" t="n"/>
      <c r="X44" s="5" t="n"/>
      <c r="Y44" s="5">
        <f>IF(W44="","",W44-X44)</f>
        <v/>
      </c>
      <c r="Z44" s="4" t="n"/>
      <c r="AA44" s="3" t="n"/>
      <c r="AB44" s="3">
        <f>IF(AA44="","",AA44+30)</f>
        <v/>
      </c>
      <c r="AC44" s="4" t="n"/>
      <c r="AD44" s="4" t="n"/>
      <c r="AE44" s="4" t="n"/>
      <c r="AF44" s="4" t="n"/>
    </row>
    <row r="45" ht="22" customHeight="1">
      <c r="A45" s="2" t="n"/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3" t="n"/>
      <c r="N45" s="3" t="n"/>
      <c r="O45" s="4" t="n"/>
      <c r="P45" s="4" t="n"/>
      <c r="Q45" s="4" t="n"/>
      <c r="R45" s="4" t="n"/>
      <c r="S45" s="4" t="n"/>
      <c r="T45" s="5" t="n"/>
      <c r="U45" s="4" t="n"/>
      <c r="V45" s="4" t="n"/>
      <c r="W45" s="5" t="n"/>
      <c r="X45" s="5" t="n"/>
      <c r="Y45" s="5">
        <f>IF(W45="","",W45-X45)</f>
        <v/>
      </c>
      <c r="Z45" s="4" t="n"/>
      <c r="AA45" s="3" t="n"/>
      <c r="AB45" s="3">
        <f>IF(AA45="","",AA45+30)</f>
        <v/>
      </c>
      <c r="AC45" s="4" t="n"/>
      <c r="AD45" s="4" t="n"/>
      <c r="AE45" s="4" t="n"/>
      <c r="AF45" s="4" t="n"/>
    </row>
    <row r="46" ht="22" customHeight="1">
      <c r="A46" s="2" t="n"/>
      <c r="B46" s="3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3" t="n"/>
      <c r="N46" s="3" t="n"/>
      <c r="O46" s="4" t="n"/>
      <c r="P46" s="4" t="n"/>
      <c r="Q46" s="4" t="n"/>
      <c r="R46" s="4" t="n"/>
      <c r="S46" s="4" t="n"/>
      <c r="T46" s="5" t="n"/>
      <c r="U46" s="4" t="n"/>
      <c r="V46" s="4" t="n"/>
      <c r="W46" s="5" t="n"/>
      <c r="X46" s="5" t="n"/>
      <c r="Y46" s="5">
        <f>IF(W46="","",W46-X46)</f>
        <v/>
      </c>
      <c r="Z46" s="4" t="n"/>
      <c r="AA46" s="3" t="n"/>
      <c r="AB46" s="3">
        <f>IF(AA46="","",AA46+30)</f>
        <v/>
      </c>
      <c r="AC46" s="4" t="n"/>
      <c r="AD46" s="4" t="n"/>
      <c r="AE46" s="4" t="n"/>
      <c r="AF46" s="4" t="n"/>
    </row>
    <row r="47" ht="22" customHeight="1">
      <c r="A47" s="2" t="n"/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3" t="n"/>
      <c r="N47" s="3" t="n"/>
      <c r="O47" s="4" t="n"/>
      <c r="P47" s="4" t="n"/>
      <c r="Q47" s="4" t="n"/>
      <c r="R47" s="4" t="n"/>
      <c r="S47" s="4" t="n"/>
      <c r="T47" s="5" t="n"/>
      <c r="U47" s="4" t="n"/>
      <c r="V47" s="4" t="n"/>
      <c r="W47" s="5" t="n"/>
      <c r="X47" s="5" t="n"/>
      <c r="Y47" s="5">
        <f>IF(W47="","",W47-X47)</f>
        <v/>
      </c>
      <c r="Z47" s="4" t="n"/>
      <c r="AA47" s="3" t="n"/>
      <c r="AB47" s="3">
        <f>IF(AA47="","",AA47+30)</f>
        <v/>
      </c>
      <c r="AC47" s="4" t="n"/>
      <c r="AD47" s="4" t="n"/>
      <c r="AE47" s="4" t="n"/>
      <c r="AF47" s="4" t="n"/>
    </row>
    <row r="48" ht="22" customHeight="1">
      <c r="A48" s="2" t="n"/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3" t="n"/>
      <c r="N48" s="3" t="n"/>
      <c r="O48" s="4" t="n"/>
      <c r="P48" s="4" t="n"/>
      <c r="Q48" s="4" t="n"/>
      <c r="R48" s="4" t="n"/>
      <c r="S48" s="4" t="n"/>
      <c r="T48" s="5" t="n"/>
      <c r="U48" s="4" t="n"/>
      <c r="V48" s="4" t="n"/>
      <c r="W48" s="5" t="n"/>
      <c r="X48" s="5" t="n"/>
      <c r="Y48" s="5">
        <f>IF(W48="","",W48-X48)</f>
        <v/>
      </c>
      <c r="Z48" s="4" t="n"/>
      <c r="AA48" s="3" t="n"/>
      <c r="AB48" s="3">
        <f>IF(AA48="","",AA48+30)</f>
        <v/>
      </c>
      <c r="AC48" s="4" t="n"/>
      <c r="AD48" s="4" t="n"/>
      <c r="AE48" s="4" t="n"/>
      <c r="AF48" s="4" t="n"/>
    </row>
    <row r="49" ht="22" customHeight="1">
      <c r="A49" s="2" t="n"/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3" t="n"/>
      <c r="N49" s="3" t="n"/>
      <c r="O49" s="4" t="n"/>
      <c r="P49" s="4" t="n"/>
      <c r="Q49" s="4" t="n"/>
      <c r="R49" s="4" t="n"/>
      <c r="S49" s="4" t="n"/>
      <c r="T49" s="5" t="n"/>
      <c r="U49" s="4" t="n"/>
      <c r="V49" s="4" t="n"/>
      <c r="W49" s="5" t="n"/>
      <c r="X49" s="5" t="n"/>
      <c r="Y49" s="5">
        <f>IF(W49="","",W49-X49)</f>
        <v/>
      </c>
      <c r="Z49" s="4" t="n"/>
      <c r="AA49" s="3" t="n"/>
      <c r="AB49" s="3">
        <f>IF(AA49="","",AA49+30)</f>
        <v/>
      </c>
      <c r="AC49" s="4" t="n"/>
      <c r="AD49" s="4" t="n"/>
      <c r="AE49" s="4" t="n"/>
      <c r="AF49" s="4" t="n"/>
    </row>
    <row r="50" ht="22" customHeight="1">
      <c r="A50" s="2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3" t="n"/>
      <c r="N50" s="3" t="n"/>
      <c r="O50" s="4" t="n"/>
      <c r="P50" s="4" t="n"/>
      <c r="Q50" s="4" t="n"/>
      <c r="R50" s="4" t="n"/>
      <c r="S50" s="4" t="n"/>
      <c r="T50" s="5" t="n"/>
      <c r="U50" s="4" t="n"/>
      <c r="V50" s="4" t="n"/>
      <c r="W50" s="5" t="n"/>
      <c r="X50" s="5" t="n"/>
      <c r="Y50" s="5">
        <f>IF(W50="","",W50-X50)</f>
        <v/>
      </c>
      <c r="Z50" s="4" t="n"/>
      <c r="AA50" s="3" t="n"/>
      <c r="AB50" s="3">
        <f>IF(AA50="","",AA50+30)</f>
        <v/>
      </c>
      <c r="AC50" s="4" t="n"/>
      <c r="AD50" s="4" t="n"/>
      <c r="AE50" s="4" t="n"/>
      <c r="AF50" s="4" t="n"/>
    </row>
    <row r="51" ht="22" customHeight="1">
      <c r="A51" s="2" t="n"/>
      <c r="B51" s="3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3" t="n"/>
      <c r="N51" s="3" t="n"/>
      <c r="O51" s="4" t="n"/>
      <c r="P51" s="4" t="n"/>
      <c r="Q51" s="4" t="n"/>
      <c r="R51" s="4" t="n"/>
      <c r="S51" s="4" t="n"/>
      <c r="T51" s="5" t="n"/>
      <c r="U51" s="4" t="n"/>
      <c r="V51" s="4" t="n"/>
      <c r="W51" s="5" t="n"/>
      <c r="X51" s="5" t="n"/>
      <c r="Y51" s="5">
        <f>IF(W51="","",W51-X51)</f>
        <v/>
      </c>
      <c r="Z51" s="4" t="n"/>
      <c r="AA51" s="3" t="n"/>
      <c r="AB51" s="3">
        <f>IF(AA51="","",AA51+30)</f>
        <v/>
      </c>
      <c r="AC51" s="4" t="n"/>
      <c r="AD51" s="4" t="n"/>
      <c r="AE51" s="4" t="n"/>
      <c r="AF51" s="4" t="n"/>
    </row>
  </sheetData>
  <conditionalFormatting sqref="U2:U100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AE2:AE100">
    <cfRule type="cellIs" priority="3" operator="equal" dxfId="1">
      <formula>"YES"</formula>
    </cfRule>
  </conditionalFormatting>
  <dataValidations count="4">
    <dataValidation sqref="D2:D100" showDropDown="0" showInputMessage="0" showErrorMessage="0" allowBlank="1" type="list">
      <formula1>"電話,LINE,Web,紹介,その他"</formula1>
    </dataValidation>
    <dataValidation sqref="E2:E100 U2:U100 AC2:AC100 AD2:AD100 AE2:AE100" showDropDown="0" showInputMessage="0" showErrorMessage="0" allowBlank="1" type="list">
      <formula1>"YES,NO"</formula1>
    </dataValidation>
    <dataValidation sqref="J2:J100" showDropDown="0" showInputMessage="0" showErrorMessage="0" allowBlank="1" type="list">
      <formula1>"戸建て,マンション,アパート,その他"</formula1>
    </dataValidation>
    <dataValidation sqref="Z2:Z100" showDropDown="0" showInputMessage="0" showErrorMessage="0" allowBlank="1" type="list">
      <formula1>"現金,銀行振込,カード,その他"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4" customWidth="1" min="5" max="5"/>
    <col width="22" customWidth="1" min="6" max="6"/>
    <col width="16" customWidth="1" min="7" max="7"/>
  </cols>
  <sheetData>
    <row r="2" ht="28" customHeight="1">
      <c r="B2" s="6" t="inlineStr">
        <is>
          <t>匠 - 経営ダッシュボード</t>
        </is>
      </c>
    </row>
    <row r="4" ht="22" customHeight="1">
      <c r="B4" s="7" t="inlineStr">
        <is>
          <t>問合せ・成約</t>
        </is>
      </c>
      <c r="F4" s="7" t="inlineStr">
        <is>
          <t>売上・粗利</t>
        </is>
      </c>
    </row>
    <row r="5" ht="22" customHeight="1">
      <c r="B5" s="8" t="inlineStr">
        <is>
          <t>今月の受付件数</t>
        </is>
      </c>
      <c r="C5" s="9">
        <f>COUNTA(案件管理!B2:B200)-COUNTIF(案件管理!B2:B200,"&lt;&gt;"&amp;"")+COUNTIFS(案件管理!B2:B200,"&gt;="&amp;EOMONTH(TODAY(),-1)+1,案件管理!B2:B200,"&lt;="&amp;EOMONTH(TODAY(),0))</f>
        <v/>
      </c>
      <c r="D5" s="10" t="inlineStr">
        <is>
          <t>件</t>
        </is>
      </c>
      <c r="F5" s="8" t="inlineStr">
        <is>
          <t>今月売上</t>
        </is>
      </c>
      <c r="G5" s="11">
        <f>SUMIFS(案件管理!W2:W200,案件管理!B2:B200,"&gt;="&amp;EOMONTH(TODAY(),-1)+1,案件管理!B2:B200,"&lt;="&amp;EOMONTH(TODAY(),0))</f>
        <v/>
      </c>
    </row>
    <row r="6" ht="22" customHeight="1">
      <c r="B6" s="8" t="inlineStr">
        <is>
          <t>今月の成約件数</t>
        </is>
      </c>
      <c r="C6" s="9">
        <f>COUNTIFS(案件管理!B2:B200,"&gt;="&amp;EOMONTH(TODAY(),-1)+1,案件管理!B2:B200,"&lt;="&amp;EOMONTH(TODAY(),0),案件管理!U2:U200,"YES")</f>
        <v/>
      </c>
      <c r="D6" s="10" t="inlineStr">
        <is>
          <t>件</t>
        </is>
      </c>
      <c r="F6" s="8" t="inlineStr">
        <is>
          <t>今月粗利</t>
        </is>
      </c>
      <c r="G6" s="11">
        <f>SUMIFS(案件管理!Y2:Y200,案件管理!B2:B200,"&gt;="&amp;EOMONTH(TODAY(),-1)+1,案件管理!B2:B200,"&lt;="&amp;EOMONTH(TODAY(),0))</f>
        <v/>
      </c>
    </row>
    <row r="7" ht="22" customHeight="1">
      <c r="B7" s="8" t="inlineStr">
        <is>
          <t>成約率</t>
        </is>
      </c>
      <c r="C7" s="12">
        <f>IFERROR(COUNTIFS(案件管理!B2:B200,"&gt;="&amp;EOMONTH(TODAY(),-1)+1,案件管理!B2:B200,"&lt;="&amp;EOMONTH(TODAY(),0),案件管理!U2:U200,"YES")/COUNTIFS(案件管理!B2:B200,"&gt;="&amp;EOMONTH(TODAY(),-1)+1,案件管理!B2:B200,"&lt;="&amp;EOMONTH(TODAY(),0)),"")</f>
        <v/>
      </c>
      <c r="D7" s="10" t="inlineStr">
        <is>
          <t>%</t>
        </is>
      </c>
      <c r="F7" s="8" t="inlineStr">
        <is>
          <t>平均客単価</t>
        </is>
      </c>
      <c r="G7" s="11">
        <f>IFERROR(AVERAGEIFS(案件管理!W2:W200,案件管理!B2:B200,"&gt;="&amp;EOMONTH(TODAY(),-1)+1,案件管理!B2:B200,"&lt;="&amp;EOMONTH(TODAY(),0),案件管理!U2:U200,"YES"),"")</f>
        <v/>
      </c>
    </row>
    <row r="8" ht="22" customHeight="1">
      <c r="B8" s="8" t="inlineStr">
        <is>
          <t>電話経由 比率</t>
        </is>
      </c>
      <c r="C8" s="12">
        <f>IFERROR(COUNTIFS(案件管理!B2:B200,"&gt;="&amp;EOMONTH(TODAY(),-1)+1,案件管理!B2:B200,"&lt;="&amp;EOMONTH(TODAY(),0),案件管理!D2:D200,"電話")/COUNTIFS(案件管理!B2:B200,"&gt;="&amp;EOMONTH(TODAY(),-1)+1,案件管理!B2:B200,"&lt;="&amp;EOMONTH(TODAY(),0)),"")</f>
        <v/>
      </c>
      <c r="D8" s="10" t="inlineStr">
        <is>
          <t>%</t>
        </is>
      </c>
      <c r="F8" s="8" t="inlineStr">
        <is>
          <t>平均粗利</t>
        </is>
      </c>
      <c r="G8" s="11">
        <f>IFERROR(AVERAGEIFS(案件管理!Y2:Y200,案件管理!B2:B200,"&gt;="&amp;EOMONTH(TODAY(),-1)+1,案件管理!B2:B200,"&lt;="&amp;EOMONTH(TODAY(),0),案件管理!U2:U200,"YES"),"")</f>
        <v/>
      </c>
    </row>
    <row r="9" ht="22" customHeight="1">
      <c r="B9" s="8" t="inlineStr">
        <is>
          <t>LINE経由 比率</t>
        </is>
      </c>
      <c r="C9" s="12">
        <f>IFERROR(COUNTIFS(案件管理!B2:B200,"&gt;="&amp;EOMONTH(TODAY(),-1)+1,案件管理!B2:B200,"&lt;="&amp;EOMONTH(TODAY(),0),案件管理!D2:D200,"LINE")/COUNTIFS(案件管理!B2:B200,"&gt;="&amp;EOMONTH(TODAY(),-1)+1,案件管理!B2:B200,"&lt;="&amp;EOMONTH(TODAY(),0)),"")</f>
        <v/>
      </c>
      <c r="D9" s="10" t="inlineStr">
        <is>
          <t>%</t>
        </is>
      </c>
      <c r="F9" s="8" t="inlineStr">
        <is>
          <t>粗利率</t>
        </is>
      </c>
      <c r="G9" s="12">
        <f>IFERROR(SUMIFS(案件管理!Y2:Y200,案件管理!B2:B200,"&gt;="&amp;EOMONTH(TODAY(),-1)+1,案件管理!B2:B200,"&lt;="&amp;EOMONTH(TODAY(),0))/SUMIFS(案件管理!W2:W200,案件管理!B2:B200,"&gt;="&amp;EOMONTH(TODAY(),-1)+1,案件管理!B2:B200,"&lt;="&amp;EOMONTH(TODAY(),0)),"")</f>
        <v/>
      </c>
    </row>
    <row r="12">
      <c r="B12" s="13" t="inlineStr">
        <is>
          <t>要フォロー</t>
        </is>
      </c>
    </row>
    <row r="13" ht="22" customHeight="1">
      <c r="B13" s="14" t="inlineStr">
        <is>
          <t>クレーム件数（今月）</t>
        </is>
      </c>
      <c r="G13" s="15">
        <f>COUNTIFS(案件管理!B2:B200,"&gt;="&amp;EOMONTH(TODAY(),-1)+1,案件管理!B2:B200,"&lt;="&amp;EOMONTH(TODAY(),0),案件管理!AE2:AE200,"YES")</f>
        <v/>
      </c>
    </row>
    <row r="14" ht="22" customHeight="1">
      <c r="B14" s="14" t="inlineStr">
        <is>
          <t>アフター未対応</t>
        </is>
      </c>
      <c r="G14" s="15">
        <f>COUNTIFS(案件管理!U2:U200,"YES",案件管理!AC2:AC200,"NO")</f>
        <v/>
      </c>
    </row>
    <row r="15" ht="22" customHeight="1">
      <c r="B15" s="14" t="inlineStr">
        <is>
          <t>保証期間内の案件数</t>
        </is>
      </c>
      <c r="G15" s="15">
        <f>COUNTIFS(案件管理!AB2:AB200,"&gt;="&amp;TODAY())</f>
        <v/>
      </c>
    </row>
    <row r="16" ht="22" customHeight="1">
      <c r="B16" s="14" t="inlineStr">
        <is>
          <t>口コミ依頼未実施</t>
        </is>
      </c>
      <c r="G16" s="15">
        <f>COUNTIFS(案件管理!U2:U200,"YES",案件管理!AD2:AD200,"NO")</f>
        <v/>
      </c>
    </row>
    <row r="18">
      <c r="B18" s="16" t="inlineStr">
        <is>
          <t>※ データは「案件管理」シートに入力するとここに自動集計されます。
※ 「受付日」を入れると当月集計に反映されます。
※ KPI詳細分析は「月次収支表.xlsx」と併せてご確認ください。</t>
        </is>
      </c>
    </row>
    <row r="19"/>
    <row r="20"/>
  </sheetData>
  <mergeCells count="9">
    <mergeCell ref="B2:G2"/>
    <mergeCell ref="F4:G4"/>
    <mergeCell ref="B16:F16"/>
    <mergeCell ref="B15:F15"/>
    <mergeCell ref="B18:G20"/>
    <mergeCell ref="B4:D4"/>
    <mergeCell ref="B12:G12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2026-04-14T06:48:38Z</dcterms:created>
  <dcterms:modified xmlns:dcterms="http://purl.org/dc/terms/" xmlns:xsi="http://www.w3.org/2001/XMLSchema-instance" xsi:type="dcterms:W3CDTF">2026-04-14T06:48:38Z</dcterms:modified>
</cp:coreProperties>
</file>